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valentinekrafft/Desktop/SportB_Group_I/"/>
    </mc:Choice>
  </mc:AlternateContent>
  <xr:revisionPtr revIDLastSave="0" documentId="8_{5DE54A9A-6E9A-FA43-9817-DF592B28E759}" xr6:coauthVersionLast="47" xr6:coauthVersionMax="47" xr10:uidLastSave="{00000000-0000-0000-0000-000000000000}"/>
  <bookViews>
    <workbookView xWindow="780" yWindow="2280" windowWidth="24020" windowHeight="13820" activeTab="5" xr2:uid="{00000000-000D-0000-FFFF-FFFF00000000}"/>
  </bookViews>
  <sheets>
    <sheet name="Demand" sheetId="6" r:id="rId1"/>
    <sheet name="__OpenSolverCache__" sheetId="2" state="hidden" r:id="rId2"/>
    <sheet name="__OpenSolver__" sheetId="3" state="hidden" r:id="rId3"/>
    <sheet name="Parameters" sheetId="5" r:id="rId4"/>
    <sheet name="Q1_ST_Louis only" sheetId="9" r:id="rId5"/>
    <sheet name="Q2_Model_Baseline" sheetId="4" r:id="rId6"/>
    <sheet name="Q3_next_day " sheetId="10" r:id="rId7"/>
    <sheet name="Q4_Resillient" sheetId="11" r:id="rId8"/>
    <sheet name="Q5_Model_international" sheetId="1" r:id="rId9"/>
    <sheet name="Q6_insourcing" sheetId="13" r:id="rId10"/>
  </sheets>
  <definedNames>
    <definedName name="OpenSolver_ChosenSolver" localSheetId="4" hidden="1">CBC</definedName>
    <definedName name="OpenSolver_ChosenSolver" localSheetId="5" hidden="1">CBC</definedName>
    <definedName name="OpenSolver_ChosenSolver" localSheetId="6" hidden="1">CBC</definedName>
    <definedName name="OpenSolver_ChosenSolver" localSheetId="7" hidden="1">CBC</definedName>
    <definedName name="OpenSolver_ChosenSolver" localSheetId="8" hidden="1">CBC</definedName>
    <definedName name="OpenSolver_ChosenSolver" localSheetId="9" hidden="1">CBC</definedName>
    <definedName name="OpenSolver_DualsNewSheet" localSheetId="4" hidden="1">0</definedName>
    <definedName name="OpenSolver_DualsNewSheet" localSheetId="5" hidden="1">0</definedName>
    <definedName name="OpenSolver_DualsNewSheet" localSheetId="6" hidden="1">0</definedName>
    <definedName name="OpenSolver_DualsNewSheet" localSheetId="7" hidden="1">0</definedName>
    <definedName name="OpenSolver_DualsNewSheet" localSheetId="8" hidden="1">0</definedName>
    <definedName name="OpenSolver_DualsNewSheet" localSheetId="9" hidden="1">0</definedName>
    <definedName name="OpenSolver_LinearityCheck" localSheetId="4" hidden="1">1</definedName>
    <definedName name="OpenSolver_LinearityCheck" localSheetId="5" hidden="1">1</definedName>
    <definedName name="OpenSolver_LinearityCheck" localSheetId="6" hidden="1">1</definedName>
    <definedName name="OpenSolver_LinearityCheck" localSheetId="7" hidden="1">1</definedName>
    <definedName name="OpenSolver_LinearityCheck" localSheetId="8" hidden="1">1</definedName>
    <definedName name="OpenSolver_LinearityCheck" localSheetId="9" hidden="1">1</definedName>
    <definedName name="OpenSolver_UpdateSensitivity" localSheetId="4" hidden="1">1</definedName>
    <definedName name="OpenSolver_UpdateSensitivity" localSheetId="5" hidden="1">1</definedName>
    <definedName name="OpenSolver_UpdateSensitivity" localSheetId="6" hidden="1">1</definedName>
    <definedName name="OpenSolver_UpdateSensitivity" localSheetId="7" hidden="1">1</definedName>
    <definedName name="OpenSolver_UpdateSensitivity" localSheetId="8" hidden="1">1</definedName>
    <definedName name="OpenSolver_UpdateSensitivity" localSheetId="9" hidden="1">1</definedName>
    <definedName name="solver_adj" localSheetId="4" hidden="1">'Q1_ST_Louis only'!$C$7:$E$16,'Q1_ST_Louis only'!$B$21:$G$35,'Q1_ST_Louis only'!$B$39:$D$48,'Q1_ST_Louis only'!$B$51:$F$53</definedName>
    <definedName name="solver_adj" localSheetId="5" hidden="1">Q2_Model_Baseline!$C$7:$E$16,Q2_Model_Baseline!$B$21:$G$35,Q2_Model_Baseline!$B$39:$D$48,Q2_Model_Baseline!$B$51:$F$53</definedName>
    <definedName name="solver_adj" localSheetId="6" hidden="1">'Q3_next_day '!$C$7:$E$16,'Q3_next_day '!$B$21:$G$35,'Q3_next_day '!$B$39:$D$48,'Q3_next_day '!$B$51:$F$53</definedName>
    <definedName name="solver_adj" localSheetId="7" hidden="1">Q4_Resillient!$C$7:$E$16,Q4_Resillient!$B$21:$G$35,Q4_Resillient!$B$39:$D$48,Q4_Resillient!$B$51:$F$53</definedName>
    <definedName name="solver_adj" localSheetId="8" hidden="1">Q5_Model_international!$C$7:$E$16,Q5_Model_international!$B$21:$G$35,Q5_Model_international!$B$39:$D$48,Q5_Model_international!$B$52:$D$54,Q5_Model_international!$B$58:$F$66</definedName>
    <definedName name="solver_adj" localSheetId="9" hidden="1">Q6_insourcing!$C$7:$E$16,Q6_insourcing!$B$21:$G$35,Q6_insourcing!$B$39:$D$48,Q6_insourcing!$B$51:$F$53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eng" localSheetId="4" hidden="1">2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1" localSheetId="4" hidden="1">'Q1_ST_Louis only'!$B$100:$D$100</definedName>
    <definedName name="solver_lhs1" localSheetId="5" hidden="1">Q2_Model_Baseline!$C$7:$E$16</definedName>
    <definedName name="solver_lhs1" localSheetId="6" hidden="1">'Q3_next_day '!$C$7:$E$16</definedName>
    <definedName name="solver_lhs1" localSheetId="7" hidden="1">Q4_Resillient!$C$7:$E$16</definedName>
    <definedName name="solver_lhs1" localSheetId="8" hidden="1">Q5_Model_international!$C$7:$E$16</definedName>
    <definedName name="solver_lhs1" localSheetId="9" hidden="1">Q6_insourcing!$C$7:$E$16</definedName>
    <definedName name="solver_lhs10" localSheetId="4" hidden="1">'Q1_ST_Louis only'!$C$7:$E$16</definedName>
    <definedName name="solver_lhs10" localSheetId="7" hidden="1">Q4_Resillient!$B$104:$D$108</definedName>
    <definedName name="solver_lhs11" localSheetId="4" hidden="1">'Q1_ST_Louis only'!$B$39:$D$48</definedName>
    <definedName name="solver_lhs2" localSheetId="4" hidden="1">'Q1_ST_Louis only'!$B$104:$D$108</definedName>
    <definedName name="solver_lhs2" localSheetId="5" hidden="1">Q2_Model_Baseline!$B$61:$D$66</definedName>
    <definedName name="solver_lhs2" localSheetId="6" hidden="1">'Q3_next_day '!$B$61:$D$66</definedName>
    <definedName name="solver_lhs2" localSheetId="7" hidden="1">Q4_Resillient!$B$61:$D$66</definedName>
    <definedName name="solver_lhs2" localSheetId="8" hidden="1">Q5_Model_international!$B$52:$D$54</definedName>
    <definedName name="solver_lhs2" localSheetId="9" hidden="1">Q6_insourcing!$B$61:$D$66</definedName>
    <definedName name="solver_lhs3" localSheetId="4" hidden="1">'Q1_ST_Louis only'!$B$61:$D$66</definedName>
    <definedName name="solver_lhs3" localSheetId="5" hidden="1">Q2_Model_Baseline!$B$70:$D$74</definedName>
    <definedName name="solver_lhs3" localSheetId="6" hidden="1">'Q3_next_day '!$B$70:$D$74</definedName>
    <definedName name="solver_lhs3" localSheetId="7" hidden="1">Q4_Resillient!$B$70:$D$74</definedName>
    <definedName name="solver_lhs3" localSheetId="8" hidden="1">Q5_Model_international!$B$72:$D$77</definedName>
    <definedName name="solver_lhs3" localSheetId="9" hidden="1">Q6_insourcing!$B$70:$D$74</definedName>
    <definedName name="solver_lhs4" localSheetId="4" hidden="1">'Q1_ST_Louis only'!$B$70:$D$74</definedName>
    <definedName name="solver_lhs4" localSheetId="5" hidden="1">Q2_Model_Baseline!$B$78:$D$82</definedName>
    <definedName name="solver_lhs4" localSheetId="6" hidden="1">'Q3_next_day '!$B$78:$D$82</definedName>
    <definedName name="solver_lhs4" localSheetId="7" hidden="1">Q4_Resillient!$B$78:$D$82</definedName>
    <definedName name="solver_lhs4" localSheetId="8" hidden="1">Q5_Model_international!$B$81:$D$85</definedName>
    <definedName name="solver_lhs4" localSheetId="9" hidden="1">Q6_insourcing!$B$78:$D$82</definedName>
    <definedName name="solver_lhs5" localSheetId="4" hidden="1">'Q1_ST_Louis only'!$B$78:$D$82</definedName>
    <definedName name="solver_lhs5" localSheetId="5" hidden="1">Q2_Model_Baseline!$B$87:$D$96</definedName>
    <definedName name="solver_lhs5" localSheetId="6" hidden="1">'Q3_next_day '!$B$87:$D$96</definedName>
    <definedName name="solver_lhs5" localSheetId="7" hidden="1">Q4_Resillient!$B$87:$D$96</definedName>
    <definedName name="solver_lhs5" localSheetId="8" hidden="1">Q5_Model_international!$B$89:$D$93</definedName>
    <definedName name="solver_lhs5" localSheetId="9" hidden="1">Q6_insourcing!$B$87:$D$96</definedName>
    <definedName name="solver_lhs6" localSheetId="4" hidden="1">'Q1_ST_Louis only'!$B$87:$D$96</definedName>
    <definedName name="solver_lhs6" localSheetId="5" hidden="1">Q2_Model_Baseline!$B$100:$D$100</definedName>
    <definedName name="solver_lhs6" localSheetId="6" hidden="1">'Q3_next_day '!$B$100:$D$100</definedName>
    <definedName name="solver_lhs6" localSheetId="7" hidden="1">Q4_Resillient!$B$100:$D$100</definedName>
    <definedName name="solver_lhs6" localSheetId="8" hidden="1">Q5_Model_international!$B$98:$D$107</definedName>
    <definedName name="solver_lhs6" localSheetId="9" hidden="1">Q6_insourcing!$B$100:$D$100</definedName>
    <definedName name="solver_lhs7" localSheetId="4" hidden="1">'Q1_ST_Louis only'!$C$12:$E$12</definedName>
    <definedName name="solver_lhs7" localSheetId="5" hidden="1">Q2_Model_Baseline!$B$104:$D$108</definedName>
    <definedName name="solver_lhs7" localSheetId="6" hidden="1">'Q3_next_day '!$B$104:$D$108</definedName>
    <definedName name="solver_lhs7" localSheetId="7" hidden="1">Q4_Resillient!$I$8</definedName>
    <definedName name="solver_lhs7" localSheetId="8" hidden="1">Q5_Model_international!$B$111:$D$113</definedName>
    <definedName name="solver_lhs7" localSheetId="9" hidden="1">Q6_insourcing!$B$104:$D$108</definedName>
    <definedName name="solver_lhs8" localSheetId="4" hidden="1">'Q1_ST_Louis only'!$C$7:$E$11</definedName>
    <definedName name="solver_lhs8" localSheetId="7" hidden="1">Q4_Resillient!$J$8</definedName>
    <definedName name="solver_lhs8" localSheetId="8" hidden="1">Q5_Model_international!$B$117:$D$121</definedName>
    <definedName name="solver_lhs9" localSheetId="4" hidden="1">'Q1_ST_Louis only'!$C$13:$E$16</definedName>
    <definedName name="solver_lhs9" localSheetId="7" hidden="1">Q4_Resillient!$K$8</definedName>
    <definedName name="solver_lin" localSheetId="4" hidden="1">1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4" hidden="1">2147483647</definedName>
    <definedName name="solver_num" localSheetId="4" hidden="1">11</definedName>
    <definedName name="solver_num" localSheetId="5" hidden="1">7</definedName>
    <definedName name="solver_num" localSheetId="6" hidden="1">7</definedName>
    <definedName name="solver_num" localSheetId="7" hidden="1">10</definedName>
    <definedName name="solver_num" localSheetId="8" hidden="1">8</definedName>
    <definedName name="solver_num" localSheetId="9" hidden="1">7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4" hidden="1">'Q1_ST_Louis only'!$E$124</definedName>
    <definedName name="solver_opt" localSheetId="5" hidden="1">Q2_Model_Baseline!$E$124</definedName>
    <definedName name="solver_opt" localSheetId="6" hidden="1">'Q3_next_day '!$E$124</definedName>
    <definedName name="solver_opt" localSheetId="7" hidden="1">Q4_Resillient!$E$124</definedName>
    <definedName name="solver_opt" localSheetId="8" hidden="1">Q5_Model_international!$E$135</definedName>
    <definedName name="solver_opt" localSheetId="9" hidden="1">Q6_insourcing!$E$124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1" localSheetId="5" hidden="1">5</definedName>
    <definedName name="solver_rel1" localSheetId="6" hidden="1">5</definedName>
    <definedName name="solver_rel1" localSheetId="7" hidden="1">5</definedName>
    <definedName name="solver_rel1" localSheetId="8" hidden="1">5</definedName>
    <definedName name="solver_rel1" localSheetId="9" hidden="1">5</definedName>
    <definedName name="solver_rel10" localSheetId="4" hidden="1">5</definedName>
    <definedName name="solver_rel10" localSheetId="7" hidden="1">2</definedName>
    <definedName name="solver_rel11" localSheetId="4" hidden="1">5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2" localSheetId="8" hidden="1">5</definedName>
    <definedName name="solver_rel2" localSheetId="9" hidden="1">2</definedName>
    <definedName name="solver_rel3" localSheetId="4" hidden="1">2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3" localSheetId="8" hidden="1">2</definedName>
    <definedName name="solver_rel3" localSheetId="9" hidden="1">1</definedName>
    <definedName name="solver_rel4" localSheetId="4" hidden="1">1</definedName>
    <definedName name="solver_rel4" localSheetId="5" hidden="1">1</definedName>
    <definedName name="solver_rel4" localSheetId="6" hidden="1">1</definedName>
    <definedName name="solver_rel4" localSheetId="7" hidden="1">1</definedName>
    <definedName name="solver_rel4" localSheetId="8" hidden="1">1</definedName>
    <definedName name="solver_rel4" localSheetId="9" hidden="1">1</definedName>
    <definedName name="solver_rel5" localSheetId="4" hidden="1">1</definedName>
    <definedName name="solver_rel5" localSheetId="5" hidden="1">1</definedName>
    <definedName name="solver_rel5" localSheetId="6" hidden="1">1</definedName>
    <definedName name="solver_rel5" localSheetId="7" hidden="1">1</definedName>
    <definedName name="solver_rel5" localSheetId="8" hidden="1">1</definedName>
    <definedName name="solver_rel5" localSheetId="9" hidden="1">1</definedName>
    <definedName name="solver_rel6" localSheetId="4" hidden="1">1</definedName>
    <definedName name="solver_rel6" localSheetId="5" hidden="1">1</definedName>
    <definedName name="solver_rel6" localSheetId="6" hidden="1">1</definedName>
    <definedName name="solver_rel6" localSheetId="7" hidden="1">1</definedName>
    <definedName name="solver_rel6" localSheetId="8" hidden="1">1</definedName>
    <definedName name="solver_rel6" localSheetId="9" hidden="1">1</definedName>
    <definedName name="solver_rel7" localSheetId="4" hidden="1">2</definedName>
    <definedName name="solver_rel7" localSheetId="5" hidden="1">2</definedName>
    <definedName name="solver_rel7" localSheetId="6" hidden="1">2</definedName>
    <definedName name="solver_rel7" localSheetId="7" hidden="1">3</definedName>
    <definedName name="solver_rel7" localSheetId="8" hidden="1">1</definedName>
    <definedName name="solver_rel7" localSheetId="9" hidden="1">2</definedName>
    <definedName name="solver_rel8" localSheetId="4" hidden="1">2</definedName>
    <definedName name="solver_rel8" localSheetId="7" hidden="1">3</definedName>
    <definedName name="solver_rel8" localSheetId="8" hidden="1">2</definedName>
    <definedName name="solver_rel9" localSheetId="4" hidden="1">2</definedName>
    <definedName name="solver_rel9" localSheetId="7" hidden="1">3</definedName>
    <definedName name="solver_rhs1" localSheetId="4" hidden="1">'Q1_ST_Louis only'!$E$100:$G$100</definedName>
    <definedName name="solver_rhs1" localSheetId="5" hidden="1">binary</definedName>
    <definedName name="solver_rhs1" localSheetId="6" hidden="1">binary</definedName>
    <definedName name="solver_rhs1" localSheetId="7" hidden="1">binary</definedName>
    <definedName name="solver_rhs1" localSheetId="8" hidden="1">binary</definedName>
    <definedName name="solver_rhs1" localSheetId="9" hidden="1">binary</definedName>
    <definedName name="solver_rhs10" localSheetId="4" hidden="1">binary</definedName>
    <definedName name="solver_rhs10" localSheetId="7" hidden="1">Q4_Resillient!$E$104:$G$108</definedName>
    <definedName name="solver_rhs11" localSheetId="4" hidden="1">binary</definedName>
    <definedName name="solver_rhs2" localSheetId="4" hidden="1">'Q1_ST_Louis only'!$E$104:$G$108</definedName>
    <definedName name="solver_rhs2" localSheetId="5" hidden="1">Q2_Model_Baseline!$E$61:$G$66</definedName>
    <definedName name="solver_rhs2" localSheetId="6" hidden="1">'Q3_next_day '!$E$61:$G$66</definedName>
    <definedName name="solver_rhs2" localSheetId="7" hidden="1">Q4_Resillient!$E$61:$G$66</definedName>
    <definedName name="solver_rhs2" localSheetId="8" hidden="1">binary</definedName>
    <definedName name="solver_rhs2" localSheetId="9" hidden="1">Q6_insourcing!$E$61:$G$66</definedName>
    <definedName name="solver_rhs3" localSheetId="4" hidden="1">'Q1_ST_Louis only'!$E$61:$G$66</definedName>
    <definedName name="solver_rhs3" localSheetId="5" hidden="1">Q2_Model_Baseline!$E$70:$G$74</definedName>
    <definedName name="solver_rhs3" localSheetId="6" hidden="1">'Q3_next_day '!$E$70:$G$74</definedName>
    <definedName name="solver_rhs3" localSheetId="7" hidden="1">Q4_Resillient!$E$70:$G$74</definedName>
    <definedName name="solver_rhs3" localSheetId="8" hidden="1">Q5_Model_international!$E$72:$G$77</definedName>
    <definedName name="solver_rhs3" localSheetId="9" hidden="1">Q6_insourcing!$E$70:$G$74</definedName>
    <definedName name="solver_rhs4" localSheetId="4" hidden="1">'Q1_ST_Louis only'!$E$70:$G$74</definedName>
    <definedName name="solver_rhs4" localSheetId="5" hidden="1">1</definedName>
    <definedName name="solver_rhs4" localSheetId="6" hidden="1">1</definedName>
    <definedName name="solver_rhs4" localSheetId="7" hidden="1">1</definedName>
    <definedName name="solver_rhs4" localSheetId="8" hidden="1">Q5_Model_international!$E$81:$G$85</definedName>
    <definedName name="solver_rhs4" localSheetId="9" hidden="1">1</definedName>
    <definedName name="solver_rhs5" localSheetId="4" hidden="1">1</definedName>
    <definedName name="solver_rhs5" localSheetId="5" hidden="1">Q2_Model_Baseline!$B$39:$D$48</definedName>
    <definedName name="solver_rhs5" localSheetId="6" hidden="1">'Q3_next_day '!$B$39:$D$48</definedName>
    <definedName name="solver_rhs5" localSheetId="7" hidden="1">Q4_Resillient!$B$39:$D$48</definedName>
    <definedName name="solver_rhs5" localSheetId="8" hidden="1">1</definedName>
    <definedName name="solver_rhs5" localSheetId="9" hidden="1">Q6_insourcing!$B$39:$D$48</definedName>
    <definedName name="solver_rhs6" localSheetId="4" hidden="1">'Q1_ST_Louis only'!$B$39:$D$48</definedName>
    <definedName name="solver_rhs6" localSheetId="5" hidden="1">Q2_Model_Baseline!$E$100:$G$100</definedName>
    <definedName name="solver_rhs6" localSheetId="6" hidden="1">'Q3_next_day '!$E$100:$G$100</definedName>
    <definedName name="solver_rhs6" localSheetId="7" hidden="1">Q4_Resillient!$E$100:$G$100</definedName>
    <definedName name="solver_rhs6" localSheetId="8" hidden="1">Q5_Model_international!$B$39:$D$48</definedName>
    <definedName name="solver_rhs6" localSheetId="9" hidden="1">Q6_insourcing!$E$100:$G$100</definedName>
    <definedName name="solver_rhs7" localSheetId="4" hidden="1">1</definedName>
    <definedName name="solver_rhs7" localSheetId="5" hidden="1">Q2_Model_Baseline!$E$104:$G$108</definedName>
    <definedName name="solver_rhs7" localSheetId="6" hidden="1">'Q3_next_day '!$E$104:$G$108</definedName>
    <definedName name="solver_rhs7" localSheetId="7" hidden="1">2</definedName>
    <definedName name="solver_rhs7" localSheetId="8" hidden="1">Q5_Model_international!$E$111:$G$113</definedName>
    <definedName name="solver_rhs7" localSheetId="9" hidden="1">Q6_insourcing!$E$104:$G$108</definedName>
    <definedName name="solver_rhs8" localSheetId="4" hidden="1">0</definedName>
    <definedName name="solver_rhs8" localSheetId="7" hidden="1">2</definedName>
    <definedName name="solver_rhs8" localSheetId="8" hidden="1">Q5_Model_international!$E$117:$G$121</definedName>
    <definedName name="solver_rhs9" localSheetId="4" hidden="1">0</definedName>
    <definedName name="solver_rhs9" localSheetId="7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4" hidden="1">0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cl" localSheetId="7" hidden="1">2</definedName>
    <definedName name="solver_scl" localSheetId="8" hidden="1">2</definedName>
    <definedName name="solver_scl" localSheetId="9" hidden="1">2</definedName>
    <definedName name="solver_sho" localSheetId="4" hidden="1">2</definedName>
    <definedName name="solver_sho" localSheetId="5" hidden="1">0</definedName>
    <definedName name="solver_sho" localSheetId="6" hidden="1">0</definedName>
    <definedName name="solver_sho" localSheetId="7" hidden="1">0</definedName>
    <definedName name="solver_sho" localSheetId="8" hidden="1">0</definedName>
    <definedName name="solver_sho" localSheetId="9" hidden="1">0</definedName>
    <definedName name="solver_ssz" localSheetId="4" hidden="1">100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4" hidden="1">0.05</definedName>
    <definedName name="solver_tol" localSheetId="5" hidden="1">0.05</definedName>
    <definedName name="solver_tol" localSheetId="6" hidden="1">0.05</definedName>
    <definedName name="solver_tol" localSheetId="7" hidden="1">0.05</definedName>
    <definedName name="solver_tol" localSheetId="8" hidden="1">0.05</definedName>
    <definedName name="solver_tol" localSheetId="9" hidden="1">0.05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4" hidden="1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7" i="10" l="1"/>
  <c r="D126" i="10"/>
  <c r="C126" i="10"/>
  <c r="B126" i="10"/>
  <c r="D163" i="11"/>
  <c r="E155" i="11"/>
  <c r="E170" i="11"/>
  <c r="C170" i="11"/>
  <c r="D170" i="11"/>
  <c r="B170" i="11"/>
  <c r="D148" i="11"/>
  <c r="E148" i="11"/>
  <c r="C148" i="11"/>
  <c r="E144" i="11"/>
  <c r="D144" i="11"/>
  <c r="C144" i="11"/>
  <c r="C143" i="11"/>
  <c r="B133" i="11"/>
  <c r="E140" i="11"/>
  <c r="D140" i="11"/>
  <c r="C140" i="11"/>
  <c r="D161" i="11"/>
  <c r="C157" i="11"/>
  <c r="B130" i="13"/>
  <c r="E139" i="1"/>
  <c r="C139" i="1"/>
  <c r="D139" i="1"/>
  <c r="B139" i="1"/>
  <c r="D138" i="1"/>
  <c r="C138" i="1"/>
  <c r="B138" i="1"/>
  <c r="D126" i="11"/>
  <c r="C126" i="11"/>
  <c r="B126" i="11"/>
  <c r="D126" i="4"/>
  <c r="C126" i="4"/>
  <c r="B126" i="4"/>
  <c r="D134" i="9"/>
  <c r="C134" i="9"/>
  <c r="B134" i="9"/>
  <c r="D133" i="9"/>
  <c r="C133" i="9"/>
  <c r="B133" i="9"/>
  <c r="D132" i="9"/>
  <c r="C132" i="9"/>
  <c r="B132" i="9"/>
  <c r="D130" i="9"/>
  <c r="C130" i="9"/>
  <c r="B130" i="9"/>
  <c r="O61" i="9"/>
  <c r="N61" i="9"/>
  <c r="M61" i="9"/>
  <c r="K125" i="13"/>
  <c r="D120" i="10"/>
  <c r="D119" i="10"/>
  <c r="B133" i="13"/>
  <c r="B132" i="13"/>
  <c r="B131" i="13"/>
  <c r="B120" i="13"/>
  <c r="C120" i="13"/>
  <c r="D120" i="13"/>
  <c r="E10" i="5"/>
  <c r="E6" i="5"/>
  <c r="D126" i="13"/>
  <c r="C126" i="13"/>
  <c r="B126" i="13"/>
  <c r="D123" i="13"/>
  <c r="C123" i="13"/>
  <c r="B123" i="13"/>
  <c r="D122" i="13"/>
  <c r="C122" i="13"/>
  <c r="B122" i="13"/>
  <c r="D121" i="13"/>
  <c r="C121" i="13"/>
  <c r="B121" i="13"/>
  <c r="D119" i="13"/>
  <c r="C119" i="13"/>
  <c r="B119" i="13"/>
  <c r="D118" i="13"/>
  <c r="C118" i="13"/>
  <c r="B118" i="13"/>
  <c r="D117" i="13"/>
  <c r="C117" i="13"/>
  <c r="B117" i="13"/>
  <c r="D116" i="13"/>
  <c r="C116" i="13"/>
  <c r="B116" i="13"/>
  <c r="D115" i="13"/>
  <c r="C115" i="13"/>
  <c r="B115" i="13"/>
  <c r="G108" i="13"/>
  <c r="F108" i="13"/>
  <c r="E108" i="13"/>
  <c r="D108" i="13"/>
  <c r="C108" i="13"/>
  <c r="B108" i="13"/>
  <c r="G107" i="13"/>
  <c r="F107" i="13"/>
  <c r="E107" i="13"/>
  <c r="D107" i="13"/>
  <c r="C107" i="13"/>
  <c r="B107" i="13"/>
  <c r="G106" i="13"/>
  <c r="F106" i="13"/>
  <c r="E106" i="13"/>
  <c r="D106" i="13"/>
  <c r="C106" i="13"/>
  <c r="B106" i="13"/>
  <c r="G105" i="13"/>
  <c r="F105" i="13"/>
  <c r="E105" i="13"/>
  <c r="D105" i="13"/>
  <c r="C105" i="13"/>
  <c r="B105" i="13"/>
  <c r="G104" i="13"/>
  <c r="F104" i="13"/>
  <c r="E104" i="13"/>
  <c r="D104" i="13"/>
  <c r="C104" i="13"/>
  <c r="B104" i="13"/>
  <c r="G100" i="13"/>
  <c r="F100" i="13"/>
  <c r="E100" i="13"/>
  <c r="D100" i="13"/>
  <c r="C100" i="13"/>
  <c r="B100" i="13"/>
  <c r="D96" i="13"/>
  <c r="C96" i="13"/>
  <c r="B96" i="13"/>
  <c r="D95" i="13"/>
  <c r="C95" i="13"/>
  <c r="B95" i="13"/>
  <c r="D94" i="13"/>
  <c r="C94" i="13"/>
  <c r="B94" i="13"/>
  <c r="D93" i="13"/>
  <c r="C93" i="13"/>
  <c r="B93" i="13"/>
  <c r="D92" i="13"/>
  <c r="C92" i="13"/>
  <c r="B92" i="13"/>
  <c r="D91" i="13"/>
  <c r="C91" i="13"/>
  <c r="B91" i="13"/>
  <c r="D90" i="13"/>
  <c r="C90" i="13"/>
  <c r="B90" i="13"/>
  <c r="D89" i="13"/>
  <c r="C89" i="13"/>
  <c r="B89" i="13"/>
  <c r="D88" i="13"/>
  <c r="C88" i="13"/>
  <c r="B88" i="13"/>
  <c r="D87" i="13"/>
  <c r="C87" i="13"/>
  <c r="B87" i="13"/>
  <c r="D82" i="13"/>
  <c r="C82" i="13"/>
  <c r="B82" i="13"/>
  <c r="D81" i="13"/>
  <c r="C81" i="13"/>
  <c r="B81" i="13"/>
  <c r="D80" i="13"/>
  <c r="C80" i="13"/>
  <c r="B80" i="13"/>
  <c r="D79" i="13"/>
  <c r="C79" i="13"/>
  <c r="B79" i="13"/>
  <c r="D78" i="13"/>
  <c r="C78" i="13"/>
  <c r="B78" i="13"/>
  <c r="G74" i="13"/>
  <c r="F74" i="13"/>
  <c r="E74" i="13"/>
  <c r="D74" i="13"/>
  <c r="C74" i="13"/>
  <c r="B74" i="13"/>
  <c r="G73" i="13"/>
  <c r="F73" i="13"/>
  <c r="E73" i="13"/>
  <c r="D73" i="13"/>
  <c r="C73" i="13"/>
  <c r="B73" i="13"/>
  <c r="G72" i="13"/>
  <c r="F72" i="13"/>
  <c r="E72" i="13"/>
  <c r="D72" i="13"/>
  <c r="C72" i="13"/>
  <c r="B72" i="13"/>
  <c r="G71" i="13"/>
  <c r="F71" i="13"/>
  <c r="E71" i="13"/>
  <c r="D71" i="13"/>
  <c r="C71" i="13"/>
  <c r="B71" i="13"/>
  <c r="G70" i="13"/>
  <c r="F70" i="13"/>
  <c r="E70" i="13"/>
  <c r="D70" i="13"/>
  <c r="C70" i="13"/>
  <c r="B70" i="13"/>
  <c r="G66" i="13"/>
  <c r="F66" i="13"/>
  <c r="E66" i="13"/>
  <c r="D66" i="13"/>
  <c r="C66" i="13"/>
  <c r="B66" i="13"/>
  <c r="G65" i="13"/>
  <c r="F65" i="13"/>
  <c r="E65" i="13"/>
  <c r="D65" i="13"/>
  <c r="C65" i="13"/>
  <c r="B65" i="13"/>
  <c r="G64" i="13"/>
  <c r="F64" i="13"/>
  <c r="E64" i="13"/>
  <c r="D64" i="13"/>
  <c r="C64" i="13"/>
  <c r="B64" i="13"/>
  <c r="G63" i="13"/>
  <c r="F63" i="13"/>
  <c r="E63" i="13"/>
  <c r="D63" i="13"/>
  <c r="C63" i="13"/>
  <c r="B63" i="13"/>
  <c r="G62" i="13"/>
  <c r="F62" i="13"/>
  <c r="E62" i="13"/>
  <c r="D62" i="13"/>
  <c r="C62" i="13"/>
  <c r="B62" i="13"/>
  <c r="G61" i="13"/>
  <c r="F61" i="13"/>
  <c r="E61" i="13"/>
  <c r="D61" i="13"/>
  <c r="C61" i="13"/>
  <c r="B61" i="13"/>
  <c r="G53" i="13"/>
  <c r="G52" i="13"/>
  <c r="G51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B104" i="4"/>
  <c r="E105" i="11"/>
  <c r="E106" i="11"/>
  <c r="B106" i="4"/>
  <c r="D92" i="11"/>
  <c r="B70" i="11"/>
  <c r="K8" i="11"/>
  <c r="J8" i="11"/>
  <c r="I8" i="11"/>
  <c r="D122" i="11"/>
  <c r="C122" i="11"/>
  <c r="B122" i="11"/>
  <c r="D121" i="11"/>
  <c r="C121" i="11"/>
  <c r="B121" i="11"/>
  <c r="D120" i="11"/>
  <c r="C120" i="11"/>
  <c r="B120" i="11"/>
  <c r="D119" i="11"/>
  <c r="C119" i="11"/>
  <c r="B119" i="11"/>
  <c r="D118" i="11"/>
  <c r="C118" i="11"/>
  <c r="B118" i="11"/>
  <c r="D117" i="11"/>
  <c r="C117" i="11"/>
  <c r="B117" i="11"/>
  <c r="D116" i="11"/>
  <c r="C116" i="11"/>
  <c r="B116" i="11"/>
  <c r="D115" i="11"/>
  <c r="C115" i="11"/>
  <c r="B115" i="11"/>
  <c r="G108" i="11"/>
  <c r="F108" i="11"/>
  <c r="E108" i="11"/>
  <c r="G107" i="11"/>
  <c r="F107" i="11"/>
  <c r="E107" i="11"/>
  <c r="G106" i="11"/>
  <c r="F106" i="11"/>
  <c r="G105" i="11"/>
  <c r="F105" i="11"/>
  <c r="G104" i="11"/>
  <c r="F104" i="11"/>
  <c r="E104" i="11"/>
  <c r="G100" i="11"/>
  <c r="F100" i="11"/>
  <c r="E100" i="11"/>
  <c r="D96" i="11"/>
  <c r="C96" i="11"/>
  <c r="B96" i="11"/>
  <c r="D95" i="11"/>
  <c r="C95" i="11"/>
  <c r="B95" i="11"/>
  <c r="D94" i="11"/>
  <c r="C94" i="11"/>
  <c r="B94" i="11"/>
  <c r="D93" i="11"/>
  <c r="C93" i="11"/>
  <c r="B93" i="11"/>
  <c r="C92" i="11"/>
  <c r="B92" i="11"/>
  <c r="D91" i="11"/>
  <c r="C91" i="11"/>
  <c r="B91" i="11"/>
  <c r="D90" i="11"/>
  <c r="C90" i="11"/>
  <c r="B90" i="11"/>
  <c r="D89" i="11"/>
  <c r="C89" i="11"/>
  <c r="B89" i="11"/>
  <c r="D88" i="11"/>
  <c r="C88" i="11"/>
  <c r="B88" i="11"/>
  <c r="D87" i="11"/>
  <c r="C87" i="11"/>
  <c r="B87" i="11"/>
  <c r="D82" i="11"/>
  <c r="C82" i="11"/>
  <c r="B82" i="11"/>
  <c r="D81" i="11"/>
  <c r="C81" i="11"/>
  <c r="B81" i="11"/>
  <c r="D80" i="11"/>
  <c r="C80" i="11"/>
  <c r="B80" i="11"/>
  <c r="D79" i="11"/>
  <c r="C79" i="11"/>
  <c r="B79" i="11"/>
  <c r="D78" i="11"/>
  <c r="C78" i="11"/>
  <c r="B78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H35" i="11"/>
  <c r="H34" i="11"/>
  <c r="H33" i="11"/>
  <c r="E139" i="11" s="1"/>
  <c r="E141" i="11" s="1"/>
  <c r="H32" i="11"/>
  <c r="H31" i="11"/>
  <c r="H30" i="11"/>
  <c r="H29" i="11"/>
  <c r="H28" i="11"/>
  <c r="D139" i="11" s="1"/>
  <c r="H27" i="11"/>
  <c r="D143" i="11" s="1"/>
  <c r="H26" i="11"/>
  <c r="H25" i="11"/>
  <c r="H24" i="11"/>
  <c r="C147" i="11" s="1"/>
  <c r="H23" i="11"/>
  <c r="C139" i="11" s="1"/>
  <c r="H22" i="11"/>
  <c r="H21" i="11"/>
  <c r="C127" i="4"/>
  <c r="B72" i="6"/>
  <c r="D118" i="10"/>
  <c r="G42" i="10"/>
  <c r="H42" i="10"/>
  <c r="I42" i="10"/>
  <c r="J42" i="10"/>
  <c r="K42" i="10"/>
  <c r="L42" i="10"/>
  <c r="G43" i="10"/>
  <c r="H43" i="10"/>
  <c r="I43" i="10"/>
  <c r="J43" i="10"/>
  <c r="K43" i="10"/>
  <c r="L43" i="10"/>
  <c r="G44" i="10"/>
  <c r="H44" i="10"/>
  <c r="I44" i="10"/>
  <c r="J44" i="10"/>
  <c r="K44" i="10"/>
  <c r="L44" i="10"/>
  <c r="G45" i="10"/>
  <c r="H45" i="10"/>
  <c r="I45" i="10"/>
  <c r="J45" i="10"/>
  <c r="K45" i="10"/>
  <c r="L45" i="10"/>
  <c r="H41" i="10"/>
  <c r="I41" i="10"/>
  <c r="J41" i="10"/>
  <c r="K41" i="10"/>
  <c r="L41" i="10"/>
  <c r="G41" i="10"/>
  <c r="G78" i="6"/>
  <c r="G73" i="6"/>
  <c r="G74" i="6"/>
  <c r="G75" i="6"/>
  <c r="G76" i="6"/>
  <c r="G77" i="6"/>
  <c r="G72" i="6"/>
  <c r="E62" i="6"/>
  <c r="G63" i="6"/>
  <c r="G64" i="6"/>
  <c r="G65" i="6"/>
  <c r="G66" i="6"/>
  <c r="G67" i="6"/>
  <c r="D123" i="10"/>
  <c r="C123" i="10"/>
  <c r="B123" i="10"/>
  <c r="D122" i="10"/>
  <c r="C122" i="10"/>
  <c r="B122" i="10"/>
  <c r="D121" i="10"/>
  <c r="C121" i="10"/>
  <c r="B121" i="10"/>
  <c r="C120" i="10"/>
  <c r="B120" i="10"/>
  <c r="C119" i="10"/>
  <c r="B119" i="10"/>
  <c r="C118" i="10"/>
  <c r="B118" i="10"/>
  <c r="D117" i="10"/>
  <c r="C117" i="10"/>
  <c r="B117" i="10"/>
  <c r="D116" i="10"/>
  <c r="C116" i="10"/>
  <c r="B116" i="10"/>
  <c r="D115" i="10"/>
  <c r="C115" i="10"/>
  <c r="B115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0" i="10"/>
  <c r="F100" i="10"/>
  <c r="E100" i="10"/>
  <c r="D100" i="10"/>
  <c r="C100" i="10"/>
  <c r="B100" i="10"/>
  <c r="D96" i="10"/>
  <c r="C96" i="10"/>
  <c r="B96" i="10"/>
  <c r="D95" i="10"/>
  <c r="C95" i="10"/>
  <c r="B95" i="10"/>
  <c r="D94" i="10"/>
  <c r="C94" i="10"/>
  <c r="B94" i="10"/>
  <c r="D93" i="10"/>
  <c r="C93" i="10"/>
  <c r="B93" i="10"/>
  <c r="D92" i="10"/>
  <c r="C92" i="10"/>
  <c r="B92" i="10"/>
  <c r="D91" i="10"/>
  <c r="C91" i="10"/>
  <c r="B91" i="10"/>
  <c r="D90" i="10"/>
  <c r="C90" i="10"/>
  <c r="B90" i="10"/>
  <c r="D89" i="10"/>
  <c r="C89" i="10"/>
  <c r="B89" i="10"/>
  <c r="D88" i="10"/>
  <c r="C88" i="10"/>
  <c r="B88" i="10"/>
  <c r="D87" i="10"/>
  <c r="C87" i="10"/>
  <c r="B87" i="10"/>
  <c r="D82" i="10"/>
  <c r="C82" i="10"/>
  <c r="B82" i="10"/>
  <c r="D81" i="10"/>
  <c r="C81" i="10"/>
  <c r="B81" i="10"/>
  <c r="D80" i="10"/>
  <c r="C80" i="10"/>
  <c r="B80" i="10"/>
  <c r="D79" i="10"/>
  <c r="C79" i="10"/>
  <c r="B79" i="10"/>
  <c r="D78" i="10"/>
  <c r="C78" i="10"/>
  <c r="B78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F66" i="10"/>
  <c r="E66" i="10"/>
  <c r="D66" i="10"/>
  <c r="C66" i="10"/>
  <c r="B66" i="10"/>
  <c r="F65" i="10"/>
  <c r="E65" i="10"/>
  <c r="D65" i="10"/>
  <c r="C65" i="10"/>
  <c r="B65" i="10"/>
  <c r="F64" i="10"/>
  <c r="E64" i="10"/>
  <c r="D64" i="10"/>
  <c r="C64" i="10"/>
  <c r="B64" i="10"/>
  <c r="F63" i="10"/>
  <c r="E63" i="10"/>
  <c r="D63" i="10"/>
  <c r="C63" i="10"/>
  <c r="B63" i="10"/>
  <c r="F62" i="10"/>
  <c r="E62" i="10"/>
  <c r="D62" i="10"/>
  <c r="C62" i="10"/>
  <c r="B62" i="10"/>
  <c r="F61" i="10"/>
  <c r="E61" i="10"/>
  <c r="D61" i="10"/>
  <c r="C61" i="10"/>
  <c r="B61" i="10"/>
  <c r="G53" i="10"/>
  <c r="G52" i="10"/>
  <c r="G51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E61" i="9"/>
  <c r="D123" i="9"/>
  <c r="C123" i="9"/>
  <c r="B123" i="9"/>
  <c r="D122" i="9"/>
  <c r="C122" i="9"/>
  <c r="B122" i="9"/>
  <c r="D121" i="9"/>
  <c r="C121" i="9"/>
  <c r="B121" i="9"/>
  <c r="D120" i="9"/>
  <c r="C120" i="9"/>
  <c r="B120" i="9"/>
  <c r="D119" i="9"/>
  <c r="C119" i="9"/>
  <c r="B119" i="9"/>
  <c r="D118" i="9"/>
  <c r="C118" i="9"/>
  <c r="B118" i="9"/>
  <c r="D117" i="9"/>
  <c r="C117" i="9"/>
  <c r="B117" i="9"/>
  <c r="D116" i="9"/>
  <c r="C116" i="9"/>
  <c r="B116" i="9"/>
  <c r="D115" i="9"/>
  <c r="C115" i="9"/>
  <c r="B115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0" i="9"/>
  <c r="F100" i="9"/>
  <c r="E100" i="9"/>
  <c r="D100" i="9"/>
  <c r="C100" i="9"/>
  <c r="B100" i="9"/>
  <c r="D96" i="9"/>
  <c r="C96" i="9"/>
  <c r="B96" i="9"/>
  <c r="D95" i="9"/>
  <c r="C95" i="9"/>
  <c r="B95" i="9"/>
  <c r="D94" i="9"/>
  <c r="C94" i="9"/>
  <c r="B94" i="9"/>
  <c r="D93" i="9"/>
  <c r="C93" i="9"/>
  <c r="B93" i="9"/>
  <c r="D92" i="9"/>
  <c r="C92" i="9"/>
  <c r="B92" i="9"/>
  <c r="D91" i="9"/>
  <c r="C91" i="9"/>
  <c r="B91" i="9"/>
  <c r="D90" i="9"/>
  <c r="C90" i="9"/>
  <c r="B90" i="9"/>
  <c r="D89" i="9"/>
  <c r="C89" i="9"/>
  <c r="B89" i="9"/>
  <c r="D88" i="9"/>
  <c r="C88" i="9"/>
  <c r="B88" i="9"/>
  <c r="D87" i="9"/>
  <c r="C87" i="9"/>
  <c r="B87" i="9"/>
  <c r="D82" i="9"/>
  <c r="C82" i="9"/>
  <c r="B82" i="9"/>
  <c r="D81" i="9"/>
  <c r="C81" i="9"/>
  <c r="B81" i="9"/>
  <c r="D80" i="9"/>
  <c r="C80" i="9"/>
  <c r="B80" i="9"/>
  <c r="D79" i="9"/>
  <c r="C79" i="9"/>
  <c r="B79" i="9"/>
  <c r="D78" i="9"/>
  <c r="C78" i="9"/>
  <c r="B78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F61" i="9"/>
  <c r="D61" i="9"/>
  <c r="C61" i="9"/>
  <c r="B61" i="9"/>
  <c r="G53" i="9"/>
  <c r="G52" i="9"/>
  <c r="G51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B67" i="6"/>
  <c r="B77" i="6" s="1"/>
  <c r="B66" i="6"/>
  <c r="C66" i="6" s="1"/>
  <c r="B65" i="6"/>
  <c r="B75" i="6" s="1"/>
  <c r="B64" i="6"/>
  <c r="B74" i="6" s="1"/>
  <c r="B63" i="6"/>
  <c r="B73" i="6" s="1"/>
  <c r="C62" i="6"/>
  <c r="C72" i="6" s="1"/>
  <c r="B62" i="6"/>
  <c r="D52" i="6"/>
  <c r="E52" i="6" s="1"/>
  <c r="F52" i="6" s="1"/>
  <c r="G52" i="6" s="1"/>
  <c r="H52" i="6" s="1"/>
  <c r="I52" i="6" s="1"/>
  <c r="D51" i="6"/>
  <c r="E51" i="6" s="1"/>
  <c r="F51" i="6" s="1"/>
  <c r="G51" i="6" s="1"/>
  <c r="H51" i="6" s="1"/>
  <c r="I51" i="6" s="1"/>
  <c r="E50" i="6"/>
  <c r="F50" i="6" s="1"/>
  <c r="G50" i="6" s="1"/>
  <c r="H50" i="6" s="1"/>
  <c r="I50" i="6" s="1"/>
  <c r="D50" i="6"/>
  <c r="E49" i="6"/>
  <c r="F49" i="6" s="1"/>
  <c r="G49" i="6" s="1"/>
  <c r="H49" i="6" s="1"/>
  <c r="I49" i="6" s="1"/>
  <c r="D49" i="6"/>
  <c r="D48" i="6"/>
  <c r="E48" i="6" s="1"/>
  <c r="F48" i="6" s="1"/>
  <c r="G48" i="6" s="1"/>
  <c r="H48" i="6" s="1"/>
  <c r="I48" i="6" s="1"/>
  <c r="D47" i="6"/>
  <c r="E47" i="6" s="1"/>
  <c r="F47" i="6" s="1"/>
  <c r="G47" i="6" s="1"/>
  <c r="H47" i="6" s="1"/>
  <c r="I47" i="6" s="1"/>
  <c r="E46" i="6"/>
  <c r="F46" i="6" s="1"/>
  <c r="G46" i="6" s="1"/>
  <c r="H46" i="6" s="1"/>
  <c r="I46" i="6" s="1"/>
  <c r="D46" i="6"/>
  <c r="E45" i="6"/>
  <c r="F45" i="6" s="1"/>
  <c r="G45" i="6" s="1"/>
  <c r="H45" i="6" s="1"/>
  <c r="I45" i="6" s="1"/>
  <c r="D45" i="6"/>
  <c r="D44" i="6"/>
  <c r="E44" i="6" s="1"/>
  <c r="F44" i="6" s="1"/>
  <c r="G44" i="6" s="1"/>
  <c r="H44" i="6" s="1"/>
  <c r="I44" i="6" s="1"/>
  <c r="D43" i="6"/>
  <c r="E43" i="6" s="1"/>
  <c r="F43" i="6" s="1"/>
  <c r="G43" i="6" s="1"/>
  <c r="H43" i="6" s="1"/>
  <c r="I43" i="6" s="1"/>
  <c r="E42" i="6"/>
  <c r="F42" i="6" s="1"/>
  <c r="G42" i="6" s="1"/>
  <c r="H42" i="6" s="1"/>
  <c r="I42" i="6" s="1"/>
  <c r="D42" i="6"/>
  <c r="H41" i="6"/>
  <c r="I41" i="6" s="1"/>
  <c r="E41" i="6"/>
  <c r="F41" i="6" s="1"/>
  <c r="G41" i="6" s="1"/>
  <c r="D41" i="6"/>
  <c r="D40" i="6"/>
  <c r="E40" i="6" s="1"/>
  <c r="F40" i="6" s="1"/>
  <c r="G40" i="6" s="1"/>
  <c r="H40" i="6" s="1"/>
  <c r="I40" i="6" s="1"/>
  <c r="D39" i="6"/>
  <c r="E39" i="6" s="1"/>
  <c r="F39" i="6" s="1"/>
  <c r="G39" i="6" s="1"/>
  <c r="H39" i="6" s="1"/>
  <c r="I39" i="6" s="1"/>
  <c r="E38" i="6"/>
  <c r="F38" i="6" s="1"/>
  <c r="G38" i="6" s="1"/>
  <c r="H38" i="6" s="1"/>
  <c r="I38" i="6" s="1"/>
  <c r="D38" i="6"/>
  <c r="E37" i="6"/>
  <c r="F37" i="6" s="1"/>
  <c r="G37" i="6" s="1"/>
  <c r="H37" i="6" s="1"/>
  <c r="I37" i="6" s="1"/>
  <c r="D37" i="6"/>
  <c r="D36" i="6"/>
  <c r="E36" i="6" s="1"/>
  <c r="F36" i="6" s="1"/>
  <c r="G36" i="6" s="1"/>
  <c r="H36" i="6" s="1"/>
  <c r="I36" i="6" s="1"/>
  <c r="D35" i="6"/>
  <c r="E35" i="6" s="1"/>
  <c r="F35" i="6" s="1"/>
  <c r="G35" i="6" s="1"/>
  <c r="H35" i="6" s="1"/>
  <c r="I35" i="6" s="1"/>
  <c r="E34" i="6"/>
  <c r="F34" i="6" s="1"/>
  <c r="G34" i="6" s="1"/>
  <c r="H34" i="6" s="1"/>
  <c r="I34" i="6" s="1"/>
  <c r="D34" i="6"/>
  <c r="E33" i="6"/>
  <c r="F33" i="6" s="1"/>
  <c r="G33" i="6" s="1"/>
  <c r="H33" i="6" s="1"/>
  <c r="I33" i="6" s="1"/>
  <c r="D33" i="6"/>
  <c r="D32" i="6"/>
  <c r="E32" i="6" s="1"/>
  <c r="F32" i="6" s="1"/>
  <c r="G32" i="6" s="1"/>
  <c r="H32" i="6" s="1"/>
  <c r="I32" i="6" s="1"/>
  <c r="D31" i="6"/>
  <c r="E31" i="6" s="1"/>
  <c r="F31" i="6" s="1"/>
  <c r="G31" i="6" s="1"/>
  <c r="H31" i="6" s="1"/>
  <c r="I31" i="6" s="1"/>
  <c r="E30" i="6"/>
  <c r="F30" i="6" s="1"/>
  <c r="G30" i="6" s="1"/>
  <c r="H30" i="6" s="1"/>
  <c r="I30" i="6" s="1"/>
  <c r="D30" i="6"/>
  <c r="E29" i="6"/>
  <c r="F29" i="6" s="1"/>
  <c r="G29" i="6" s="1"/>
  <c r="H29" i="6" s="1"/>
  <c r="I29" i="6" s="1"/>
  <c r="D29" i="6"/>
  <c r="D28" i="6"/>
  <c r="E28" i="6" s="1"/>
  <c r="F28" i="6" s="1"/>
  <c r="G28" i="6" s="1"/>
  <c r="H28" i="6" s="1"/>
  <c r="I28" i="6" s="1"/>
  <c r="D27" i="6"/>
  <c r="E27" i="6" s="1"/>
  <c r="F27" i="6" s="1"/>
  <c r="G27" i="6" s="1"/>
  <c r="H27" i="6" s="1"/>
  <c r="I27" i="6" s="1"/>
  <c r="E26" i="6"/>
  <c r="F26" i="6" s="1"/>
  <c r="G26" i="6" s="1"/>
  <c r="H26" i="6" s="1"/>
  <c r="I26" i="6" s="1"/>
  <c r="D26" i="6"/>
  <c r="E25" i="6"/>
  <c r="F25" i="6" s="1"/>
  <c r="G25" i="6" s="1"/>
  <c r="H25" i="6" s="1"/>
  <c r="I25" i="6" s="1"/>
  <c r="D25" i="6"/>
  <c r="D24" i="6"/>
  <c r="E24" i="6" s="1"/>
  <c r="F24" i="6" s="1"/>
  <c r="G24" i="6" s="1"/>
  <c r="H24" i="6" s="1"/>
  <c r="I24" i="6" s="1"/>
  <c r="D23" i="6"/>
  <c r="E23" i="6" s="1"/>
  <c r="F23" i="6" s="1"/>
  <c r="G23" i="6" s="1"/>
  <c r="H23" i="6" s="1"/>
  <c r="I23" i="6" s="1"/>
  <c r="E22" i="6"/>
  <c r="F22" i="6" s="1"/>
  <c r="G22" i="6" s="1"/>
  <c r="H22" i="6" s="1"/>
  <c r="I22" i="6" s="1"/>
  <c r="D22" i="6"/>
  <c r="E21" i="6"/>
  <c r="F21" i="6" s="1"/>
  <c r="G21" i="6" s="1"/>
  <c r="H21" i="6" s="1"/>
  <c r="I21" i="6" s="1"/>
  <c r="D21" i="6"/>
  <c r="D20" i="6"/>
  <c r="E20" i="6" s="1"/>
  <c r="F20" i="6" s="1"/>
  <c r="G20" i="6" s="1"/>
  <c r="H20" i="6" s="1"/>
  <c r="I20" i="6" s="1"/>
  <c r="D19" i="6"/>
  <c r="E19" i="6" s="1"/>
  <c r="F19" i="6" s="1"/>
  <c r="G19" i="6" s="1"/>
  <c r="H19" i="6" s="1"/>
  <c r="I19" i="6" s="1"/>
  <c r="E18" i="6"/>
  <c r="F18" i="6" s="1"/>
  <c r="G18" i="6" s="1"/>
  <c r="H18" i="6" s="1"/>
  <c r="I18" i="6" s="1"/>
  <c r="D18" i="6"/>
  <c r="E17" i="6"/>
  <c r="F17" i="6" s="1"/>
  <c r="G17" i="6" s="1"/>
  <c r="H17" i="6" s="1"/>
  <c r="I17" i="6" s="1"/>
  <c r="D17" i="6"/>
  <c r="D16" i="6"/>
  <c r="E16" i="6" s="1"/>
  <c r="F16" i="6" s="1"/>
  <c r="G16" i="6" s="1"/>
  <c r="H16" i="6" s="1"/>
  <c r="I16" i="6" s="1"/>
  <c r="D15" i="6"/>
  <c r="E15" i="6" s="1"/>
  <c r="F15" i="6" s="1"/>
  <c r="G15" i="6" s="1"/>
  <c r="H15" i="6" s="1"/>
  <c r="I15" i="6" s="1"/>
  <c r="E14" i="6"/>
  <c r="F14" i="6" s="1"/>
  <c r="G14" i="6" s="1"/>
  <c r="H14" i="6" s="1"/>
  <c r="I14" i="6" s="1"/>
  <c r="D14" i="6"/>
  <c r="E13" i="6"/>
  <c r="F13" i="6" s="1"/>
  <c r="G13" i="6" s="1"/>
  <c r="H13" i="6" s="1"/>
  <c r="I13" i="6" s="1"/>
  <c r="D13" i="6"/>
  <c r="D12" i="6"/>
  <c r="E12" i="6" s="1"/>
  <c r="F12" i="6" s="1"/>
  <c r="G12" i="6" s="1"/>
  <c r="H12" i="6" s="1"/>
  <c r="I12" i="6" s="1"/>
  <c r="D11" i="6"/>
  <c r="E11" i="6" s="1"/>
  <c r="F11" i="6" s="1"/>
  <c r="G11" i="6" s="1"/>
  <c r="H11" i="6" s="1"/>
  <c r="I11" i="6" s="1"/>
  <c r="E10" i="6"/>
  <c r="F10" i="6" s="1"/>
  <c r="G10" i="6" s="1"/>
  <c r="H10" i="6" s="1"/>
  <c r="I10" i="6" s="1"/>
  <c r="D10" i="6"/>
  <c r="E9" i="6"/>
  <c r="F9" i="6" s="1"/>
  <c r="G9" i="6" s="1"/>
  <c r="H9" i="6" s="1"/>
  <c r="I9" i="6" s="1"/>
  <c r="D9" i="6"/>
  <c r="D8" i="6"/>
  <c r="E8" i="6" s="1"/>
  <c r="F8" i="6" s="1"/>
  <c r="G8" i="6" s="1"/>
  <c r="H8" i="6" s="1"/>
  <c r="I8" i="6" s="1"/>
  <c r="D7" i="6"/>
  <c r="E7" i="6" s="1"/>
  <c r="F7" i="6" s="1"/>
  <c r="G7" i="6" s="1"/>
  <c r="H7" i="6" s="1"/>
  <c r="I7" i="6" s="1"/>
  <c r="E6" i="6"/>
  <c r="F6" i="6" s="1"/>
  <c r="G6" i="6" s="1"/>
  <c r="H6" i="6" s="1"/>
  <c r="I6" i="6" s="1"/>
  <c r="D6" i="6"/>
  <c r="E5" i="6"/>
  <c r="F5" i="6" s="1"/>
  <c r="G5" i="6" s="1"/>
  <c r="H5" i="6" s="1"/>
  <c r="I5" i="6" s="1"/>
  <c r="D5" i="6"/>
  <c r="G63" i="5"/>
  <c r="G62" i="5"/>
  <c r="G61" i="5"/>
  <c r="G59" i="5"/>
  <c r="G58" i="5"/>
  <c r="G57" i="5"/>
  <c r="G55" i="5"/>
  <c r="G54" i="5"/>
  <c r="G53" i="5"/>
  <c r="D123" i="4"/>
  <c r="C123" i="4"/>
  <c r="B123" i="4"/>
  <c r="D122" i="4"/>
  <c r="C122" i="4"/>
  <c r="B122" i="4"/>
  <c r="D121" i="4"/>
  <c r="C121" i="4"/>
  <c r="B121" i="4"/>
  <c r="D119" i="4"/>
  <c r="C119" i="4"/>
  <c r="B119" i="4"/>
  <c r="D118" i="4"/>
  <c r="C118" i="4"/>
  <c r="B118" i="4"/>
  <c r="D117" i="4"/>
  <c r="C117" i="4"/>
  <c r="B117" i="4"/>
  <c r="D116" i="4"/>
  <c r="C116" i="4"/>
  <c r="B116" i="4"/>
  <c r="D115" i="4"/>
  <c r="C115" i="4"/>
  <c r="B115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G105" i="4"/>
  <c r="F105" i="4"/>
  <c r="E105" i="4"/>
  <c r="D105" i="4"/>
  <c r="C105" i="4"/>
  <c r="B105" i="4"/>
  <c r="G104" i="4"/>
  <c r="F104" i="4"/>
  <c r="E104" i="4"/>
  <c r="D104" i="4"/>
  <c r="C104" i="4"/>
  <c r="G100" i="4"/>
  <c r="F100" i="4"/>
  <c r="E100" i="4"/>
  <c r="D100" i="4"/>
  <c r="C100" i="4"/>
  <c r="B100" i="4"/>
  <c r="D96" i="4"/>
  <c r="C96" i="4"/>
  <c r="B96" i="4"/>
  <c r="D95" i="4"/>
  <c r="C95" i="4"/>
  <c r="B95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9" i="4"/>
  <c r="C89" i="4"/>
  <c r="B89" i="4"/>
  <c r="D88" i="4"/>
  <c r="C88" i="4"/>
  <c r="B88" i="4"/>
  <c r="D87" i="4"/>
  <c r="C87" i="4"/>
  <c r="B87" i="4"/>
  <c r="D82" i="4"/>
  <c r="C82" i="4"/>
  <c r="B82" i="4"/>
  <c r="D81" i="4"/>
  <c r="C81" i="4"/>
  <c r="B81" i="4"/>
  <c r="D80" i="4"/>
  <c r="C80" i="4"/>
  <c r="B80" i="4"/>
  <c r="D79" i="4"/>
  <c r="C79" i="4"/>
  <c r="B79" i="4"/>
  <c r="D78" i="4"/>
  <c r="C78" i="4"/>
  <c r="B78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G53" i="4"/>
  <c r="G52" i="4"/>
  <c r="G51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A40" i="3"/>
  <c r="A39" i="3"/>
  <c r="A38" i="3"/>
  <c r="A37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D134" i="1"/>
  <c r="C134" i="1"/>
  <c r="B134" i="1"/>
  <c r="D133" i="1"/>
  <c r="C133" i="1"/>
  <c r="B133" i="1"/>
  <c r="D132" i="1"/>
  <c r="C132" i="1"/>
  <c r="B132" i="1"/>
  <c r="D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G66" i="1"/>
  <c r="G65" i="1"/>
  <c r="G64" i="1"/>
  <c r="G63" i="1"/>
  <c r="G62" i="1"/>
  <c r="G61" i="1"/>
  <c r="G60" i="1"/>
  <c r="G59" i="1"/>
  <c r="G58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C141" i="11" l="1"/>
  <c r="D147" i="11"/>
  <c r="C149" i="11"/>
  <c r="C163" i="11" s="1"/>
  <c r="C155" i="11"/>
  <c r="C152" i="11"/>
  <c r="E143" i="11"/>
  <c r="E145" i="11"/>
  <c r="D149" i="11"/>
  <c r="F163" i="11" s="1"/>
  <c r="D145" i="11"/>
  <c r="D159" i="11" s="1"/>
  <c r="C145" i="11"/>
  <c r="C159" i="11" s="1"/>
  <c r="E147" i="11"/>
  <c r="E149" i="11" s="1"/>
  <c r="E163" i="11" s="1"/>
  <c r="C146" i="11"/>
  <c r="C142" i="11"/>
  <c r="D141" i="11"/>
  <c r="F143" i="11"/>
  <c r="E146" i="11"/>
  <c r="F139" i="11"/>
  <c r="F144" i="11"/>
  <c r="E152" i="11"/>
  <c r="C156" i="11"/>
  <c r="C158" i="11" s="1"/>
  <c r="D130" i="13"/>
  <c r="E138" i="1"/>
  <c r="E126" i="11"/>
  <c r="D127" i="10"/>
  <c r="C127" i="10"/>
  <c r="B127" i="10"/>
  <c r="E126" i="10"/>
  <c r="D127" i="4"/>
  <c r="B127" i="4"/>
  <c r="E126" i="4"/>
  <c r="M63" i="9"/>
  <c r="O64" i="9"/>
  <c r="O65" i="9" s="1"/>
  <c r="N64" i="9"/>
  <c r="N65" i="9" s="1"/>
  <c r="M64" i="9"/>
  <c r="M65" i="9" s="1"/>
  <c r="O63" i="9"/>
  <c r="N63" i="9"/>
  <c r="K126" i="13"/>
  <c r="H125" i="13"/>
  <c r="H126" i="13" s="1"/>
  <c r="J126" i="13"/>
  <c r="I126" i="13"/>
  <c r="I127" i="13" s="1"/>
  <c r="I128" i="13" s="1"/>
  <c r="H127" i="13"/>
  <c r="H128" i="13" s="1"/>
  <c r="E126" i="13"/>
  <c r="D124" i="13"/>
  <c r="C133" i="13" s="1"/>
  <c r="D133" i="13" s="1"/>
  <c r="J129" i="13" s="1"/>
  <c r="C124" i="13"/>
  <c r="C132" i="13" s="1"/>
  <c r="D132" i="13" s="1"/>
  <c r="I129" i="13" s="1"/>
  <c r="I130" i="13" s="1"/>
  <c r="B124" i="13"/>
  <c r="C131" i="13" s="1"/>
  <c r="D131" i="13" s="1"/>
  <c r="H129" i="13" s="1"/>
  <c r="E123" i="13"/>
  <c r="E122" i="13"/>
  <c r="E121" i="13"/>
  <c r="E120" i="13"/>
  <c r="E119" i="13"/>
  <c r="E118" i="13"/>
  <c r="E115" i="13"/>
  <c r="E117" i="13"/>
  <c r="E116" i="13"/>
  <c r="D106" i="11"/>
  <c r="C108" i="11"/>
  <c r="C107" i="11"/>
  <c r="C106" i="11"/>
  <c r="B104" i="11"/>
  <c r="D107" i="11"/>
  <c r="D108" i="11"/>
  <c r="D105" i="11"/>
  <c r="C105" i="11"/>
  <c r="C104" i="11"/>
  <c r="B108" i="11"/>
  <c r="B106" i="11"/>
  <c r="B105" i="11"/>
  <c r="B107" i="11"/>
  <c r="B100" i="11"/>
  <c r="B123" i="11"/>
  <c r="G51" i="11"/>
  <c r="E122" i="11"/>
  <c r="E119" i="11"/>
  <c r="E117" i="11"/>
  <c r="E115" i="11"/>
  <c r="E121" i="11"/>
  <c r="E120" i="11"/>
  <c r="E118" i="11"/>
  <c r="E116" i="11"/>
  <c r="G61" i="9"/>
  <c r="G62" i="6"/>
  <c r="G68" i="6" s="1"/>
  <c r="C124" i="10"/>
  <c r="B124" i="10"/>
  <c r="E123" i="10"/>
  <c r="E122" i="10"/>
  <c r="E121" i="10"/>
  <c r="E120" i="10"/>
  <c r="E119" i="10"/>
  <c r="E118" i="10"/>
  <c r="E115" i="10"/>
  <c r="E117" i="10"/>
  <c r="E116" i="10"/>
  <c r="D124" i="10"/>
  <c r="E123" i="9"/>
  <c r="E122" i="9"/>
  <c r="E117" i="9"/>
  <c r="E116" i="9"/>
  <c r="E118" i="9"/>
  <c r="B124" i="9"/>
  <c r="E121" i="9"/>
  <c r="E119" i="9"/>
  <c r="C124" i="9"/>
  <c r="E120" i="9"/>
  <c r="D124" i="9"/>
  <c r="E115" i="9"/>
  <c r="E123" i="4"/>
  <c r="E117" i="4"/>
  <c r="E119" i="4"/>
  <c r="E121" i="4"/>
  <c r="E129" i="1"/>
  <c r="E130" i="1"/>
  <c r="C131" i="1"/>
  <c r="C135" i="1" s="1"/>
  <c r="B135" i="1"/>
  <c r="E128" i="1"/>
  <c r="E133" i="1"/>
  <c r="E118" i="4"/>
  <c r="E116" i="4"/>
  <c r="E122" i="4"/>
  <c r="E134" i="1"/>
  <c r="D135" i="1"/>
  <c r="E132" i="1"/>
  <c r="E76" i="1"/>
  <c r="C76" i="6"/>
  <c r="E65" i="4"/>
  <c r="D66" i="6"/>
  <c r="E127" i="1"/>
  <c r="C63" i="6"/>
  <c r="B68" i="6"/>
  <c r="E61" i="4"/>
  <c r="C68" i="6"/>
  <c r="B76" i="6"/>
  <c r="B78" i="6" s="1"/>
  <c r="C65" i="6"/>
  <c r="E115" i="4"/>
  <c r="D62" i="6"/>
  <c r="C67" i="6"/>
  <c r="E126" i="1"/>
  <c r="E72" i="1"/>
  <c r="B120" i="4"/>
  <c r="C64" i="6"/>
  <c r="E150" i="11" l="1"/>
  <c r="C160" i="11"/>
  <c r="D152" i="11"/>
  <c r="D155" i="11"/>
  <c r="F155" i="11" s="1"/>
  <c r="D146" i="11"/>
  <c r="F149" i="11"/>
  <c r="E160" i="11"/>
  <c r="F147" i="11"/>
  <c r="E156" i="11"/>
  <c r="E159" i="11"/>
  <c r="F159" i="11" s="1"/>
  <c r="D160" i="11"/>
  <c r="D162" i="11" s="1"/>
  <c r="F145" i="11"/>
  <c r="D156" i="11"/>
  <c r="E153" i="11"/>
  <c r="E154" i="11" s="1"/>
  <c r="F146" i="11"/>
  <c r="E127" i="4"/>
  <c r="K127" i="13"/>
  <c r="K128" i="13" s="1"/>
  <c r="K129" i="13"/>
  <c r="K130" i="13" s="1"/>
  <c r="H130" i="13"/>
  <c r="B127" i="13"/>
  <c r="J127" i="13"/>
  <c r="J128" i="13" s="1"/>
  <c r="J130" i="13" s="1"/>
  <c r="D127" i="13"/>
  <c r="C127" i="13"/>
  <c r="E124" i="13"/>
  <c r="G53" i="11"/>
  <c r="D100" i="11"/>
  <c r="D104" i="11"/>
  <c r="D123" i="11"/>
  <c r="D124" i="11" s="1"/>
  <c r="D169" i="11" s="1"/>
  <c r="G52" i="11"/>
  <c r="C100" i="11"/>
  <c r="C123" i="11"/>
  <c r="C124" i="11" s="1"/>
  <c r="C169" i="11" s="1"/>
  <c r="B124" i="11"/>
  <c r="B169" i="11" s="1"/>
  <c r="E124" i="10"/>
  <c r="E124" i="9"/>
  <c r="E131" i="1"/>
  <c r="E135" i="1" s="1"/>
  <c r="A21" i="3" s="1"/>
  <c r="C77" i="6"/>
  <c r="D67" i="6"/>
  <c r="E66" i="4"/>
  <c r="E77" i="1"/>
  <c r="C73" i="6"/>
  <c r="C78" i="6" s="1"/>
  <c r="D63" i="6"/>
  <c r="E62" i="4"/>
  <c r="E73" i="1"/>
  <c r="E63" i="4"/>
  <c r="C74" i="6"/>
  <c r="D64" i="6"/>
  <c r="E74" i="1"/>
  <c r="D72" i="6"/>
  <c r="F61" i="4"/>
  <c r="F62" i="6"/>
  <c r="F72" i="1"/>
  <c r="D76" i="6"/>
  <c r="F65" i="4"/>
  <c r="E66" i="6"/>
  <c r="F76" i="1"/>
  <c r="B124" i="4"/>
  <c r="C75" i="6"/>
  <c r="E75" i="1"/>
  <c r="D65" i="6"/>
  <c r="E64" i="4"/>
  <c r="B127" i="11" l="1"/>
  <c r="C127" i="11"/>
  <c r="D127" i="11"/>
  <c r="E127" i="13"/>
  <c r="C130" i="13"/>
  <c r="E123" i="11"/>
  <c r="F64" i="6"/>
  <c r="F74" i="6" s="1"/>
  <c r="E64" i="6"/>
  <c r="D74" i="6"/>
  <c r="F63" i="4"/>
  <c r="F74" i="1"/>
  <c r="C120" i="4"/>
  <c r="E67" i="6"/>
  <c r="F77" i="1"/>
  <c r="D77" i="6"/>
  <c r="F66" i="4"/>
  <c r="D68" i="6"/>
  <c r="F72" i="6"/>
  <c r="D75" i="6"/>
  <c r="F64" i="4"/>
  <c r="E65" i="6"/>
  <c r="F75" i="1"/>
  <c r="E76" i="6"/>
  <c r="G76" i="1"/>
  <c r="G65" i="4"/>
  <c r="F66" i="6"/>
  <c r="F76" i="6" s="1"/>
  <c r="E72" i="6"/>
  <c r="D120" i="4"/>
  <c r="D124" i="4" s="1"/>
  <c r="G72" i="1"/>
  <c r="G61" i="4"/>
  <c r="F73" i="1"/>
  <c r="D73" i="6"/>
  <c r="D78" i="6" s="1"/>
  <c r="E63" i="6"/>
  <c r="F62" i="4"/>
  <c r="E124" i="11" l="1"/>
  <c r="E169" i="11" s="1"/>
  <c r="E171" i="11" s="1"/>
  <c r="E73" i="6"/>
  <c r="E78" i="6" s="1"/>
  <c r="G73" i="1"/>
  <c r="G62" i="4"/>
  <c r="F63" i="6"/>
  <c r="E68" i="6"/>
  <c r="G77" i="1"/>
  <c r="E77" i="6"/>
  <c r="G66" i="4"/>
  <c r="C124" i="4"/>
  <c r="E120" i="4"/>
  <c r="E124" i="4" s="1"/>
  <c r="B20" i="3" s="1"/>
  <c r="F67" i="6"/>
  <c r="F77" i="6" s="1"/>
  <c r="E74" i="6"/>
  <c r="G63" i="4"/>
  <c r="G74" i="1"/>
  <c r="E75" i="6"/>
  <c r="G64" i="4"/>
  <c r="G75" i="1"/>
  <c r="F65" i="6"/>
  <c r="F75" i="6" s="1"/>
  <c r="E127" i="11" l="1"/>
  <c r="F73" i="6"/>
  <c r="F78" i="6" s="1"/>
  <c r="F68" i="6"/>
  <c r="C161" i="11" l="1"/>
  <c r="C162" i="11" s="1"/>
  <c r="D142" i="11"/>
  <c r="C150" i="11" s="1"/>
  <c r="C153" i="11" s="1"/>
  <c r="C154" i="11" s="1"/>
  <c r="F140" i="11"/>
  <c r="E142" i="11"/>
  <c r="D150" i="11" s="1"/>
  <c r="D157" i="11" l="1"/>
  <c r="D158" i="11" s="1"/>
  <c r="D153" i="11"/>
  <c r="D154" i="11" s="1"/>
  <c r="F148" i="11"/>
  <c r="E161" i="11"/>
  <c r="E162" i="11" s="1"/>
  <c r="E157" i="11"/>
  <c r="E158" i="11" s="1"/>
  <c r="F150" i="11"/>
</calcChain>
</file>

<file path=xl/sharedStrings.xml><?xml version="1.0" encoding="utf-8"?>
<sst xmlns="http://schemas.openxmlformats.org/spreadsheetml/2006/main" count="1406" uniqueCount="274">
  <si>
    <t>SportB – MIP Model: Baseline (Minimize Total Cost 2025–2027)</t>
  </si>
  <si>
    <t>SECTION 1 – DECISION VARIABLES</t>
  </si>
  <si>
    <t>y(w,s,t) = 1 if warehouse w is open at size s (S=small, L=large) in year t  [Binary]</t>
  </si>
  <si>
    <t>Variable y(w,s,t)</t>
  </si>
  <si>
    <t>2025</t>
  </si>
  <si>
    <t>2026</t>
  </si>
  <si>
    <t>2027</t>
  </si>
  <si>
    <t>y(SEA,S)</t>
  </si>
  <si>
    <t>y(SEA,L)</t>
  </si>
  <si>
    <t>y(DEN,S)</t>
  </si>
  <si>
    <t>y(DEN,L)</t>
  </si>
  <si>
    <t>y(STL,S)</t>
  </si>
  <si>
    <t>y(STL,L)</t>
  </si>
  <si>
    <t>y(ATL,S)</t>
  </si>
  <si>
    <t>y(ATL,L)</t>
  </si>
  <si>
    <t>y(PHL,S)</t>
  </si>
  <si>
    <t>y(PHL,L)</t>
  </si>
  <si>
    <t>x(w,reg,t) = # orders shipped from warehouse w to region reg in year t  [Continuous ≥ 0]</t>
  </si>
  <si>
    <t>flux sortants (x(w,reg) )</t>
  </si>
  <si>
    <t>West</t>
  </si>
  <si>
    <t>Southw</t>
  </si>
  <si>
    <t>Northw</t>
  </si>
  <si>
    <t>Midwes</t>
  </si>
  <si>
    <t>Northe</t>
  </si>
  <si>
    <t>Southe</t>
  </si>
  <si>
    <t>Total orders</t>
  </si>
  <si>
    <t>Year</t>
  </si>
  <si>
    <t>x(SEA,2025)</t>
  </si>
  <si>
    <t>x(DEN,2025)</t>
  </si>
  <si>
    <t>x(STL,2025)</t>
  </si>
  <si>
    <t>x(ATL,2025)</t>
  </si>
  <si>
    <t>x(PHL,2025)</t>
  </si>
  <si>
    <t>x(SEA,2026)</t>
  </si>
  <si>
    <t>x(DEN,2026)</t>
  </si>
  <si>
    <t>x(STL,2026)</t>
  </si>
  <si>
    <t>x(ATL,2026)</t>
  </si>
  <si>
    <t>x(PHL,2026)</t>
  </si>
  <si>
    <t>x(SEA,2027)</t>
  </si>
  <si>
    <t>x(DEN,2027)</t>
  </si>
  <si>
    <t>x(STL,2027)</t>
  </si>
  <si>
    <t>x(ATL,2027)</t>
  </si>
  <si>
    <t>x(PHL,2027)</t>
  </si>
  <si>
    <t>Tranfer ? (z(w,t))</t>
  </si>
  <si>
    <t>Supplier utilization (UseSup_s,t)</t>
  </si>
  <si>
    <t>Suzhou (China)</t>
  </si>
  <si>
    <t>Juarez (Mexico)</t>
  </si>
  <si>
    <t>US Sources</t>
  </si>
  <si>
    <t>Flux entrants (FluxIn_s,w,t) (shipment)</t>
  </si>
  <si>
    <t>Seattle</t>
  </si>
  <si>
    <t>Denver</t>
  </si>
  <si>
    <t>Saint-Louis</t>
  </si>
  <si>
    <t>Atlanta</t>
  </si>
  <si>
    <t>Philadelphia</t>
  </si>
  <si>
    <t>SECTION 2 – CONSTRAINTS (these cells must satisfy the listed conditions for OpenSolver)</t>
  </si>
  <si>
    <t>C1. DEMAND SATISFACTION: sum_w x(w,reg,t) = demand(reg,t)  [per region, per year]</t>
  </si>
  <si>
    <t>Region</t>
  </si>
  <si>
    <t>Supply 2025</t>
  </si>
  <si>
    <t>Supply 2026</t>
  </si>
  <si>
    <t>Supply 2027</t>
  </si>
  <si>
    <t>Demand 2025</t>
  </si>
  <si>
    <t>Demand 2026</t>
  </si>
  <si>
    <t>Demand 2027</t>
  </si>
  <si>
    <t>Southwest</t>
  </si>
  <si>
    <t>Northwest</t>
  </si>
  <si>
    <t>Midwest</t>
  </si>
  <si>
    <t>Northeast</t>
  </si>
  <si>
    <t>Southeast</t>
  </si>
  <si>
    <t>C2. CAPACITY: sum_reg x(w,reg,t) * 4 ≤ capacity(w,t)  [per warehouse per year]</t>
  </si>
  <si>
    <t>Warehouse</t>
  </si>
  <si>
    <t>Flow 2025 (units)</t>
  </si>
  <si>
    <t>Flow 2026 (units)</t>
  </si>
  <si>
    <t>Flow 2027 (units)</t>
  </si>
  <si>
    <t>Capacity 2025 (units)</t>
  </si>
  <si>
    <t>Capacity 2026 (units)</t>
  </si>
  <si>
    <t>Capacity 2027 (units)</t>
  </si>
  <si>
    <t>C3. AT MOST ONE SIZE: y(w,S,t) + y(w,L,t) ≤ 1  [per warehouse per year]</t>
  </si>
  <si>
    <t>Sum sizes 2025</t>
  </si>
  <si>
    <t>Sum sizes 2026</t>
  </si>
  <si>
    <t>Sum sizes 2027</t>
  </si>
  <si>
    <t>on peut ouvrir que une des deux size par ville</t>
  </si>
  <si>
    <t>C4. WHEN A WARHOUSE CLOSES, ITS INVENTORY IS TRANSFERED TO ANOTHER ONE : z(w,S,t) &gt;= opening/closing</t>
  </si>
  <si>
    <t>Opening/Closing</t>
  </si>
  <si>
    <t>C5. Supplier capacity :  Sum(FluxIn) &lt;= UseSup  * supplier_capacity</t>
  </si>
  <si>
    <t>Supplier Capacity</t>
  </si>
  <si>
    <t>Annual capacity (Units)</t>
  </si>
  <si>
    <t>C6. Flow balance: sum(FluxIn)=Sum(x_w,reg))</t>
  </si>
  <si>
    <t>Flow balance</t>
  </si>
  <si>
    <t>Flow-in 2025 (units)</t>
  </si>
  <si>
    <t>Flow-in 2026 (units)</t>
  </si>
  <si>
    <t>Flow-in 2027 (units)</t>
  </si>
  <si>
    <t>Flow-out 2025 (units)</t>
  </si>
  <si>
    <t>Flow-out 2026 (units)</t>
  </si>
  <si>
    <t>SECTION 3 – OBJECTIVE FUNCTION (TOTAL COST TO MINIMIZE)</t>
  </si>
  <si>
    <t>Cost Component</t>
  </si>
  <si>
    <t>3-Year Total</t>
  </si>
  <si>
    <t>1. Warehouse Fixed Costs ($/yr )</t>
  </si>
  <si>
    <t>2. Warehouse Variable Costs (WH handling)</t>
  </si>
  <si>
    <t>3. Warehouse Holding Costs</t>
  </si>
  <si>
    <t>4. UPS Outbound (WH → customers)</t>
  </si>
  <si>
    <t xml:space="preserve">5. UPS Inbound (Supplier → WH) </t>
  </si>
  <si>
    <t>6. Product Purchase Cost</t>
  </si>
  <si>
    <t>7. Warehouse Transfer/Close Costs</t>
  </si>
  <si>
    <t>8. Fixed costs supplier</t>
  </si>
  <si>
    <t>9. Variable costs supplier</t>
  </si>
  <si>
    <t>TOTAL COST (Objective)</t>
  </si>
  <si>
    <t>x(w,reg) →</t>
  </si>
  <si>
    <t>Year 2025</t>
  </si>
  <si>
    <t>Year 2026</t>
  </si>
  <si>
    <t>Year 2027</t>
  </si>
  <si>
    <t>Tranfer ?</t>
  </si>
  <si>
    <t>5. UPS Inbound (Supplier → WH) (US SOURCE)</t>
  </si>
  <si>
    <t>6. Product Purchase Cost (US sources)</t>
  </si>
  <si>
    <t>SportB – Model Parameters (2025–2027)</t>
  </si>
  <si>
    <t>GENERAL ASSUMPTIONS</t>
  </si>
  <si>
    <t>Demand growth rate / year</t>
  </si>
  <si>
    <t>Avg units per order</t>
  </si>
  <si>
    <t>Avg selling price ($/unit)</t>
  </si>
  <si>
    <t>Avg purchase price US ($/unit)</t>
  </si>
  <si>
    <t>?</t>
  </si>
  <si>
    <t>WH transfer/close cost ($)</t>
  </si>
  <si>
    <t>WH holding cost – fixed ($)</t>
  </si>
  <si>
    <t>WH holding cost – variable ($/unit)</t>
  </si>
  <si>
    <t>Years in planning horizon</t>
  </si>
  <si>
    <t>Local supplier max capacity (units/year)</t>
  </si>
  <si>
    <t>small</t>
  </si>
  <si>
    <t>10000 m^2</t>
  </si>
  <si>
    <t>large</t>
  </si>
  <si>
    <t>20000 m^2</t>
  </si>
  <si>
    <t>WAREHOUSE DATA</t>
  </si>
  <si>
    <t>Location</t>
  </si>
  <si>
    <t>Small FC ($/yr)</t>
  </si>
  <si>
    <t>Small VC ($/unit)</t>
  </si>
  <si>
    <t>Small Cap (M units)</t>
  </si>
  <si>
    <t>Large FC ($/yr)</t>
  </si>
  <si>
    <t>Large VC ($/unit)</t>
  </si>
  <si>
    <t>Large Cap (M units)</t>
  </si>
  <si>
    <t>UPS OUTBOUND RATES ($/shipment of 4 units, WH → Region)</t>
  </si>
  <si>
    <t>WH \ Region</t>
  </si>
  <si>
    <t>SUPPLY DATA (annual contract)</t>
  </si>
  <si>
    <t>Source</t>
  </si>
  <si>
    <t>Fixed Cost ($/yr)</t>
  </si>
  <si>
    <t>Variable Cost ($/unit)</t>
  </si>
  <si>
    <t>Annual Capacity (M units)</t>
  </si>
  <si>
    <t>UPS INBOUND RATES ($/shipment of 4 units, Source → WH)</t>
  </si>
  <si>
    <t>WH \ Source</t>
  </si>
  <si>
    <t>Suzhou</t>
  </si>
  <si>
    <t>Juarez</t>
  </si>
  <si>
    <t>Inbound costs (detail)</t>
  </si>
  <si>
    <t>SportB – Demand Data per Region (in units)</t>
  </si>
  <si>
    <t>DEMAND BY STATE</t>
  </si>
  <si>
    <t>State</t>
  </si>
  <si>
    <t>Demand 2024</t>
  </si>
  <si>
    <t>Demand 2028</t>
  </si>
  <si>
    <t>Demand 2029</t>
  </si>
  <si>
    <t>Demand 2030</t>
  </si>
  <si>
    <t>WA</t>
  </si>
  <si>
    <t>OR</t>
  </si>
  <si>
    <t>ID</t>
  </si>
  <si>
    <t>NV</t>
  </si>
  <si>
    <t>CA</t>
  </si>
  <si>
    <t>AZ</t>
  </si>
  <si>
    <t>UT</t>
  </si>
  <si>
    <t>LA</t>
  </si>
  <si>
    <t>TX</t>
  </si>
  <si>
    <t>NM</t>
  </si>
  <si>
    <t>OK</t>
  </si>
  <si>
    <t>AR</t>
  </si>
  <si>
    <t>MT</t>
  </si>
  <si>
    <t>ND</t>
  </si>
  <si>
    <t>MN</t>
  </si>
  <si>
    <t>WY</t>
  </si>
  <si>
    <t>SD</t>
  </si>
  <si>
    <t>IA</t>
  </si>
  <si>
    <t>NE</t>
  </si>
  <si>
    <t>CO</t>
  </si>
  <si>
    <t>KS</t>
  </si>
  <si>
    <t>MO</t>
  </si>
  <si>
    <t>WI</t>
  </si>
  <si>
    <t>MI</t>
  </si>
  <si>
    <t>IL</t>
  </si>
  <si>
    <t>IN</t>
  </si>
  <si>
    <t>OH</t>
  </si>
  <si>
    <t>KY</t>
  </si>
  <si>
    <t>ME</t>
  </si>
  <si>
    <t>VT</t>
  </si>
  <si>
    <t>NH</t>
  </si>
  <si>
    <t>MA</t>
  </si>
  <si>
    <t>CT</t>
  </si>
  <si>
    <t>RI</t>
  </si>
  <si>
    <t>NY</t>
  </si>
  <si>
    <t>PA</t>
  </si>
  <si>
    <t>MD</t>
  </si>
  <si>
    <t>DC</t>
  </si>
  <si>
    <t>DE</t>
  </si>
  <si>
    <t>VA</t>
  </si>
  <si>
    <t>WV</t>
  </si>
  <si>
    <t>TN</t>
  </si>
  <si>
    <t>NC</t>
  </si>
  <si>
    <t>SC</t>
  </si>
  <si>
    <t>MS</t>
  </si>
  <si>
    <t>AL</t>
  </si>
  <si>
    <t>GA</t>
  </si>
  <si>
    <t>FL</t>
  </si>
  <si>
    <t>DEMAND SUMMARY BY REGION &amp; YEAR (units)</t>
  </si>
  <si>
    <t>2024</t>
  </si>
  <si>
    <t>Total 25-27</t>
  </si>
  <si>
    <t>TOTAL</t>
  </si>
  <si>
    <t>Number of Shipment SUMMARY BY REGION &amp; YEAR (orders = units / 4)</t>
  </si>
  <si>
    <t>C5. Supplier capacity :  Sum(FluxIn) &lt;= supplier_capacity</t>
  </si>
  <si>
    <t xml:space="preserve">capacity only_STL only </t>
  </si>
  <si>
    <t xml:space="preserve">Total demand </t>
  </si>
  <si>
    <t xml:space="preserve">STL Large capacities </t>
  </si>
  <si>
    <t>lost revenue (14$/unit)</t>
  </si>
  <si>
    <t xml:space="preserve">unites served </t>
  </si>
  <si>
    <t>unites not served</t>
  </si>
  <si>
    <t>demand 2027 (next day)</t>
  </si>
  <si>
    <t>TOTAL REVENU (14$*unit)</t>
  </si>
  <si>
    <t>PROFIT</t>
  </si>
  <si>
    <t>Resilient WH</t>
  </si>
  <si>
    <t>Disruption rate (4/52)</t>
  </si>
  <si>
    <t>Resilient network cost</t>
  </si>
  <si>
    <t>Baseline network cost</t>
  </si>
  <si>
    <t>RESILIENCE PREMIUM</t>
  </si>
  <si>
    <t>RISK ANALYSIS</t>
  </si>
  <si>
    <t>total</t>
  </si>
  <si>
    <t xml:space="preserve">Q6_Insourcing </t>
  </si>
  <si>
    <t>in sourcing share</t>
  </si>
  <si>
    <t>in soucing cost</t>
  </si>
  <si>
    <t>new product share</t>
  </si>
  <si>
    <t>new product unit</t>
  </si>
  <si>
    <t xml:space="preserve">blended </t>
  </si>
  <si>
    <t xml:space="preserve">Comparaison </t>
  </si>
  <si>
    <t>baseline</t>
  </si>
  <si>
    <t>insourcing</t>
  </si>
  <si>
    <t>capital baseline</t>
  </si>
  <si>
    <t>capital insourcing</t>
  </si>
  <si>
    <t>WACC 10%</t>
  </si>
  <si>
    <t>si rentable in soucing</t>
  </si>
  <si>
    <t>capital additional</t>
  </si>
  <si>
    <t>sensitive analysis</t>
  </si>
  <si>
    <t xml:space="preserve">Economic purchase </t>
  </si>
  <si>
    <t>Revenue protected ($14/unit)</t>
  </si>
  <si>
    <t>Margin (backup - redirect)</t>
  </si>
  <si>
    <t>RESILIENCE CHECK</t>
  </si>
  <si>
    <t>TOTAL 3 YEARS</t>
  </si>
  <si>
    <t>DISRUPTION SCENARIO</t>
  </si>
  <si>
    <t>Units per shipment</t>
  </si>
  <si>
    <t>Revenue per unit</t>
  </si>
  <si>
    <t>KEY ASSUMPTIONS</t>
  </si>
  <si>
    <t xml:space="preserve">SECTION 2 – CONSTRAINTS </t>
  </si>
  <si>
    <t xml:space="preserve">SECTION 3 – OBJECTIVE FUNCTION </t>
  </si>
  <si>
    <t>Economic purchase</t>
  </si>
  <si>
    <t>SportB – MIP Model: Insourcing</t>
  </si>
  <si>
    <t>SportB – MIP Model: International</t>
  </si>
  <si>
    <t>SportB – MIP Model: Resilient</t>
  </si>
  <si>
    <t>SECTION 2 – CONSTRAINTS</t>
  </si>
  <si>
    <t>SportB – MIP Model: Next day delivery</t>
  </si>
  <si>
    <t>SportB – MIP Model: Saint-Louis Only</t>
  </si>
  <si>
    <t>Modele unfeasible</t>
  </si>
  <si>
    <t>RISK RESILIENT ANALYSIS</t>
  </si>
  <si>
    <t>STL</t>
  </si>
  <si>
    <t>DEN</t>
  </si>
  <si>
    <t>ATL</t>
  </si>
  <si>
    <t>capacity (units)</t>
  </si>
  <si>
    <t xml:space="preserve">available capacity </t>
  </si>
  <si>
    <t>annual flow (units)</t>
  </si>
  <si>
    <t>flow at risk (units)</t>
  </si>
  <si>
    <t>STL Closing</t>
  </si>
  <si>
    <t>DEN Closing</t>
  </si>
  <si>
    <t>ATL Closing</t>
  </si>
  <si>
    <t xml:space="preserve">Units to redirect </t>
  </si>
  <si>
    <t>Total backup capacity</t>
  </si>
  <si>
    <t>3-years total</t>
  </si>
  <si>
    <t>UPS OUTBOUND RATES ($/shipment of 4 units, WH → Region) - +20%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</si>
</sst>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\$#,##0"/>
    <numFmt numFmtId="165" formatCode="\$#,##0.00"/>
    <numFmt numFmtId="166" formatCode="\$#,##0.000"/>
    <numFmt numFmtId="167" formatCode="_-[$$-404]* #,##0_-;\-[$$-404]* #,##0_-;_-[$$-404]* &quot;-&quot;??_-;_-@_-"/>
    <numFmt numFmtId="168" formatCode="0.0%"/>
    <numFmt numFmtId="169" formatCode="_ * #,##0_ ;_ * \-#,##0_ ;_ * &quot;-&quot;??_ ;_ @_ "/>
    <numFmt numFmtId="170" formatCode="_-[$$-404]* #,##0.0_-;\-[$$-404]* #,##0.0_-;_-[$$-404]* &quot;-&quot;?_-;_-@_-"/>
    <numFmt numFmtId="171" formatCode="_-[$$-404]* #,##0_-;\-[$$-404]* #,##0_-;_-[$$-404]* &quot;-&quot;?_-;_-@_-"/>
    <numFmt numFmtId="172" formatCode="[$$-2C0A]\ #,##0"/>
  </numFmts>
  <fonts count="37" x14ac:knownFonts="1">
    <font>
      <sz val="11"/>
      <color theme="1"/>
      <name val="Calibri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70C0"/>
      <name val="Arial"/>
      <family val="2"/>
    </font>
    <font>
      <sz val="10"/>
      <color rgb="FF000000"/>
      <name val="Arial"/>
      <family val="2"/>
    </font>
    <font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rgb="FF1F4E79"/>
      <name val="Arial"/>
      <family val="2"/>
    </font>
    <font>
      <sz val="11"/>
      <color theme="1"/>
      <name val="Calibri"/>
      <family val="2"/>
      <scheme val="minor"/>
    </font>
    <font>
      <b/>
      <sz val="9"/>
      <color theme="2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b/>
      <sz val="10"/>
      <color rgb="FF1F4E79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 (Body)"/>
    </font>
    <font>
      <b/>
      <sz val="10"/>
      <color theme="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AE3F3"/>
        <bgColor rgb="FFDAE3F3"/>
      </patternFill>
    </fill>
    <fill>
      <patternFill patternType="solid">
        <fgColor rgb="FF00B050"/>
        <bgColor rgb="FF00B050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E75B6"/>
        <bgColor rgb="FF0070C0"/>
      </patternFill>
    </fill>
    <fill>
      <patternFill patternType="solid">
        <fgColor rgb="FF2E74B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rgb="FFEBF1DE"/>
      </patternFill>
    </fill>
    <fill>
      <patternFill patternType="solid">
        <fgColor rgb="FFFFF3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249977111117893"/>
        <bgColor rgb="FF2E75B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2E75B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1F4E79"/>
      </patternFill>
    </fill>
    <fill>
      <patternFill patternType="solid">
        <fgColor theme="2" tint="-0.499984740745262"/>
        <bgColor rgb="FF2E75B6"/>
      </patternFill>
    </fill>
    <fill>
      <patternFill patternType="solid">
        <fgColor theme="9" tint="-0.249977111117893"/>
        <bgColor rgb="FF2E75B6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rgb="FF2E75B6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1F4E79"/>
      </patternFill>
    </fill>
    <fill>
      <patternFill patternType="solid">
        <fgColor rgb="FF2E74B6"/>
        <bgColor rgb="FF2E75B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rgb="FFE2EFDA"/>
      </patternFill>
    </fill>
    <fill>
      <patternFill patternType="solid">
        <fgColor theme="6"/>
        <bgColor rgb="FF00B050"/>
      </patternFill>
    </fill>
    <fill>
      <patternFill patternType="solid">
        <fgColor theme="2"/>
        <bgColor indexed="64"/>
      </patternFill>
    </fill>
    <fill>
      <patternFill patternType="solid">
        <fgColor theme="2" tint="-0.34998626667073579"/>
        <bgColor rgb="FF2E75B6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/>
        <bgColor rgb="FFA5A5A5"/>
      </patternFill>
    </fill>
    <fill>
      <patternFill patternType="solid">
        <fgColor theme="5"/>
        <bgColor rgb="FF333333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9E1F2"/>
      </patternFill>
    </fill>
    <fill>
      <patternFill patternType="solid">
        <fgColor theme="5" tint="0.59999389629810485"/>
        <bgColor rgb="FFE2EFD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BF1DE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0" fontId="25" fillId="0" borderId="4"/>
    <xf numFmtId="0" fontId="14" fillId="0" borderId="4"/>
  </cellStyleXfs>
  <cellXfs count="224">
    <xf numFmtId="0" fontId="0" fillId="0" borderId="0" xfId="0"/>
    <xf numFmtId="0" fontId="3" fillId="0" borderId="0" xfId="0" applyFont="1"/>
    <xf numFmtId="0" fontId="5" fillId="0" borderId="0" xfId="0" applyFont="1"/>
    <xf numFmtId="0" fontId="6" fillId="3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3" fontId="10" fillId="5" borderId="5" xfId="0" applyNumberFormat="1" applyFont="1" applyFill="1" applyBorder="1"/>
    <xf numFmtId="3" fontId="11" fillId="0" borderId="5" xfId="0" applyNumberFormat="1" applyFont="1" applyBorder="1"/>
    <xf numFmtId="0" fontId="8" fillId="0" borderId="0" xfId="0" applyFont="1"/>
    <xf numFmtId="0" fontId="8" fillId="0" borderId="6" xfId="0" applyFont="1" applyBorder="1"/>
    <xf numFmtId="3" fontId="10" fillId="5" borderId="6" xfId="0" applyNumberFormat="1" applyFont="1" applyFill="1" applyBorder="1"/>
    <xf numFmtId="3" fontId="11" fillId="0" borderId="6" xfId="0" applyNumberFormat="1" applyFont="1" applyBorder="1"/>
    <xf numFmtId="0" fontId="8" fillId="0" borderId="7" xfId="0" applyFont="1" applyBorder="1"/>
    <xf numFmtId="0" fontId="8" fillId="0" borderId="8" xfId="0" applyFont="1" applyBorder="1"/>
    <xf numFmtId="3" fontId="10" fillId="5" borderId="9" xfId="0" applyNumberFormat="1" applyFont="1" applyFill="1" applyBorder="1"/>
    <xf numFmtId="3" fontId="11" fillId="0" borderId="8" xfId="0" applyNumberFormat="1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8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12" fillId="0" borderId="0" xfId="0" applyFont="1"/>
    <xf numFmtId="1" fontId="11" fillId="0" borderId="5" xfId="0" applyNumberFormat="1" applyFont="1" applyBorder="1"/>
    <xf numFmtId="0" fontId="13" fillId="0" borderId="0" xfId="0" applyFont="1"/>
    <xf numFmtId="1" fontId="10" fillId="0" borderId="5" xfId="0" applyNumberFormat="1" applyFont="1" applyBorder="1"/>
    <xf numFmtId="164" fontId="11" fillId="0" borderId="5" xfId="0" applyNumberFormat="1" applyFont="1" applyBorder="1"/>
    <xf numFmtId="164" fontId="5" fillId="0" borderId="5" xfId="0" applyNumberFormat="1" applyFont="1" applyBorder="1"/>
    <xf numFmtId="0" fontId="14" fillId="0" borderId="5" xfId="0" applyFont="1" applyBorder="1"/>
    <xf numFmtId="164" fontId="16" fillId="4" borderId="5" xfId="0" applyNumberFormat="1" applyFont="1" applyFill="1" applyBorder="1"/>
    <xf numFmtId="164" fontId="17" fillId="6" borderId="5" xfId="0" applyNumberFormat="1" applyFont="1" applyFill="1" applyBorder="1"/>
    <xf numFmtId="164" fontId="14" fillId="0" borderId="5" xfId="0" applyNumberFormat="1" applyFont="1" applyBorder="1"/>
    <xf numFmtId="0" fontId="8" fillId="0" borderId="9" xfId="0" applyFont="1" applyBorder="1"/>
    <xf numFmtId="3" fontId="11" fillId="0" borderId="9" xfId="0" applyNumberFormat="1" applyFont="1" applyBorder="1"/>
    <xf numFmtId="0" fontId="8" fillId="0" borderId="4" xfId="0" applyFont="1" applyBorder="1"/>
    <xf numFmtId="0" fontId="0" fillId="0" borderId="4" xfId="0" applyBorder="1"/>
    <xf numFmtId="0" fontId="8" fillId="0" borderId="13" xfId="0" applyFont="1" applyBorder="1"/>
    <xf numFmtId="3" fontId="10" fillId="5" borderId="13" xfId="0" applyNumberFormat="1" applyFont="1" applyFill="1" applyBorder="1"/>
    <xf numFmtId="3" fontId="11" fillId="0" borderId="13" xfId="0" applyNumberFormat="1" applyFont="1" applyBorder="1"/>
    <xf numFmtId="0" fontId="8" fillId="0" borderId="14" xfId="0" applyFont="1" applyBorder="1"/>
    <xf numFmtId="0" fontId="19" fillId="0" borderId="0" xfId="0" applyFont="1"/>
    <xf numFmtId="0" fontId="2" fillId="0" borderId="2" xfId="0" applyFont="1" applyBorder="1"/>
    <xf numFmtId="0" fontId="2" fillId="0" borderId="3" xfId="0" applyFont="1" applyBorder="1"/>
    <xf numFmtId="167" fontId="0" fillId="8" borderId="0" xfId="0" applyNumberFormat="1" applyFill="1"/>
    <xf numFmtId="167" fontId="23" fillId="8" borderId="0" xfId="0" applyNumberFormat="1" applyFont="1" applyFill="1"/>
    <xf numFmtId="0" fontId="18" fillId="0" borderId="0" xfId="0" applyFont="1"/>
    <xf numFmtId="3" fontId="0" fillId="8" borderId="0" xfId="0" applyNumberFormat="1" applyFill="1"/>
    <xf numFmtId="0" fontId="0" fillId="8" borderId="0" xfId="1" applyNumberFormat="1" applyFont="1" applyFill="1"/>
    <xf numFmtId="0" fontId="6" fillId="9" borderId="0" xfId="0" applyFont="1" applyFill="1" applyAlignment="1">
      <alignment horizontal="center" vertical="center" wrapText="1"/>
    </xf>
    <xf numFmtId="49" fontId="24" fillId="10" borderId="0" xfId="0" applyNumberFormat="1" applyFont="1" applyFill="1" applyAlignment="1">
      <alignment horizontal="center" vertical="center"/>
    </xf>
    <xf numFmtId="1" fontId="0" fillId="0" borderId="0" xfId="0" applyNumberFormat="1"/>
    <xf numFmtId="169" fontId="27" fillId="0" borderId="15" xfId="1" applyNumberFormat="1" applyFont="1" applyBorder="1"/>
    <xf numFmtId="169" fontId="27" fillId="0" borderId="16" xfId="1" applyNumberFormat="1" applyFont="1" applyBorder="1"/>
    <xf numFmtId="171" fontId="0" fillId="0" borderId="0" xfId="0" applyNumberFormat="1"/>
    <xf numFmtId="0" fontId="14" fillId="0" borderId="4" xfId="3"/>
    <xf numFmtId="0" fontId="26" fillId="0" borderId="17" xfId="3" applyFont="1" applyBorder="1" applyAlignment="1">
      <alignment horizontal="left" vertical="center"/>
    </xf>
    <xf numFmtId="3" fontId="28" fillId="0" borderId="17" xfId="3" applyNumberFormat="1" applyFont="1" applyBorder="1" applyAlignment="1">
      <alignment horizontal="center" vertical="center"/>
    </xf>
    <xf numFmtId="3" fontId="26" fillId="0" borderId="17" xfId="3" applyNumberFormat="1" applyFont="1" applyBorder="1" applyAlignment="1">
      <alignment horizontal="center" vertical="center"/>
    </xf>
    <xf numFmtId="3" fontId="30" fillId="12" borderId="4" xfId="3" applyNumberFormat="1" applyFont="1" applyFill="1" applyAlignment="1">
      <alignment horizontal="center" vertical="center"/>
    </xf>
    <xf numFmtId="0" fontId="26" fillId="12" borderId="4" xfId="3" applyFont="1" applyFill="1" applyAlignment="1">
      <alignment horizontal="left" vertical="center"/>
    </xf>
    <xf numFmtId="164" fontId="30" fillId="12" borderId="4" xfId="3" applyNumberFormat="1" applyFont="1" applyFill="1" applyAlignment="1">
      <alignment horizontal="center" vertical="center"/>
    </xf>
    <xf numFmtId="168" fontId="30" fillId="12" borderId="4" xfId="3" applyNumberFormat="1" applyFont="1" applyFill="1" applyAlignment="1">
      <alignment horizontal="center" vertical="center"/>
    </xf>
    <xf numFmtId="0" fontId="26" fillId="0" borderId="4" xfId="3" applyFont="1" applyAlignment="1">
      <alignment horizontal="left" vertical="center"/>
    </xf>
    <xf numFmtId="3" fontId="26" fillId="0" borderId="4" xfId="3" applyNumberFormat="1" applyFont="1" applyAlignment="1">
      <alignment horizontal="center" vertical="center"/>
    </xf>
    <xf numFmtId="3" fontId="14" fillId="0" borderId="4" xfId="3" applyNumberFormat="1" applyAlignment="1">
      <alignment horizontal="center"/>
    </xf>
    <xf numFmtId="0" fontId="14" fillId="0" borderId="4" xfId="3" applyAlignment="1">
      <alignment horizontal="center"/>
    </xf>
    <xf numFmtId="3" fontId="31" fillId="0" borderId="4" xfId="3" applyNumberFormat="1" applyFont="1" applyAlignment="1">
      <alignment horizontal="center"/>
    </xf>
    <xf numFmtId="0" fontId="0" fillId="13" borderId="15" xfId="0" applyFill="1" applyBorder="1"/>
    <xf numFmtId="0" fontId="13" fillId="14" borderId="0" xfId="0" applyFont="1" applyFill="1" applyAlignment="1">
      <alignment wrapText="1"/>
    </xf>
    <xf numFmtId="0" fontId="0" fillId="14" borderId="0" xfId="0" applyFill="1"/>
    <xf numFmtId="0" fontId="13" fillId="14" borderId="0" xfId="0" applyFont="1" applyFill="1"/>
    <xf numFmtId="0" fontId="23" fillId="14" borderId="0" xfId="0" applyFont="1" applyFill="1"/>
    <xf numFmtId="0" fontId="23" fillId="8" borderId="0" xfId="0" applyFont="1" applyFill="1"/>
    <xf numFmtId="0" fontId="5" fillId="15" borderId="5" xfId="0" applyFont="1" applyFill="1" applyBorder="1"/>
    <xf numFmtId="3" fontId="11" fillId="15" borderId="5" xfId="0" applyNumberFormat="1" applyFont="1" applyFill="1" applyBorder="1"/>
    <xf numFmtId="3" fontId="11" fillId="15" borderId="10" xfId="0" applyNumberFormat="1" applyFont="1" applyFill="1" applyBorder="1"/>
    <xf numFmtId="0" fontId="0" fillId="15" borderId="15" xfId="0" applyFill="1" applyBorder="1"/>
    <xf numFmtId="3" fontId="5" fillId="15" borderId="5" xfId="0" applyNumberFormat="1" applyFont="1" applyFill="1" applyBorder="1"/>
    <xf numFmtId="3" fontId="5" fillId="15" borderId="10" xfId="0" applyNumberFormat="1" applyFont="1" applyFill="1" applyBorder="1"/>
    <xf numFmtId="3" fontId="5" fillId="15" borderId="15" xfId="0" applyNumberFormat="1" applyFont="1" applyFill="1" applyBorder="1"/>
    <xf numFmtId="0" fontId="6" fillId="16" borderId="5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 wrapText="1"/>
    </xf>
    <xf numFmtId="0" fontId="8" fillId="18" borderId="5" xfId="0" applyFont="1" applyFill="1" applyBorder="1"/>
    <xf numFmtId="3" fontId="10" fillId="18" borderId="5" xfId="0" applyNumberFormat="1" applyFont="1" applyFill="1" applyBorder="1"/>
    <xf numFmtId="0" fontId="8" fillId="18" borderId="9" xfId="0" applyFont="1" applyFill="1" applyBorder="1"/>
    <xf numFmtId="3" fontId="10" fillId="18" borderId="9" xfId="0" applyNumberFormat="1" applyFont="1" applyFill="1" applyBorder="1"/>
    <xf numFmtId="0" fontId="6" fillId="19" borderId="15" xfId="0" applyFont="1" applyFill="1" applyBorder="1" applyAlignment="1">
      <alignment horizontal="center" vertical="center" wrapText="1"/>
    </xf>
    <xf numFmtId="9" fontId="10" fillId="7" borderId="15" xfId="0" applyNumberFormat="1" applyFont="1" applyFill="1" applyBorder="1"/>
    <xf numFmtId="1" fontId="10" fillId="7" borderId="15" xfId="0" applyNumberFormat="1" applyFont="1" applyFill="1" applyBorder="1"/>
    <xf numFmtId="165" fontId="10" fillId="7" borderId="15" xfId="0" applyNumberFormat="1" applyFont="1" applyFill="1" applyBorder="1"/>
    <xf numFmtId="164" fontId="10" fillId="7" borderId="15" xfId="0" applyNumberFormat="1" applyFont="1" applyFill="1" applyBorder="1"/>
    <xf numFmtId="166" fontId="10" fillId="7" borderId="15" xfId="0" applyNumberFormat="1" applyFont="1" applyFill="1" applyBorder="1"/>
    <xf numFmtId="3" fontId="10" fillId="7" borderId="15" xfId="0" applyNumberFormat="1" applyFont="1" applyFill="1" applyBorder="1"/>
    <xf numFmtId="0" fontId="8" fillId="17" borderId="15" xfId="0" applyFont="1" applyFill="1" applyBorder="1"/>
    <xf numFmtId="0" fontId="13" fillId="17" borderId="15" xfId="0" applyFont="1" applyFill="1" applyBorder="1"/>
    <xf numFmtId="0" fontId="13" fillId="13" borderId="15" xfId="0" applyFont="1" applyFill="1" applyBorder="1"/>
    <xf numFmtId="0" fontId="6" fillId="23" borderId="4" xfId="0" applyFont="1" applyFill="1" applyBorder="1" applyAlignment="1">
      <alignment horizontal="center" vertical="center" wrapText="1"/>
    </xf>
    <xf numFmtId="0" fontId="6" fillId="23" borderId="5" xfId="0" applyFont="1" applyFill="1" applyBorder="1" applyAlignment="1">
      <alignment horizontal="center" vertical="center" wrapText="1"/>
    </xf>
    <xf numFmtId="0" fontId="5" fillId="17" borderId="5" xfId="0" applyFont="1" applyFill="1" applyBorder="1"/>
    <xf numFmtId="164" fontId="10" fillId="17" borderId="5" xfId="0" applyNumberFormat="1" applyFont="1" applyFill="1" applyBorder="1"/>
    <xf numFmtId="166" fontId="10" fillId="17" borderId="5" xfId="0" applyNumberFormat="1" applyFont="1" applyFill="1" applyBorder="1"/>
    <xf numFmtId="1" fontId="10" fillId="17" borderId="5" xfId="0" applyNumberFormat="1" applyFont="1" applyFill="1" applyBorder="1"/>
    <xf numFmtId="165" fontId="10" fillId="17" borderId="5" xfId="0" applyNumberFormat="1" applyFont="1" applyFill="1" applyBorder="1"/>
    <xf numFmtId="0" fontId="5" fillId="20" borderId="5" xfId="0" applyFont="1" applyFill="1" applyBorder="1"/>
    <xf numFmtId="0" fontId="33" fillId="20" borderId="5" xfId="0" applyFont="1" applyFill="1" applyBorder="1"/>
    <xf numFmtId="0" fontId="6" fillId="0" borderId="4" xfId="0" applyFont="1" applyBorder="1" applyAlignment="1">
      <alignment horizontal="center" vertical="center" wrapText="1"/>
    </xf>
    <xf numFmtId="3" fontId="11" fillId="17" borderId="5" xfId="0" applyNumberFormat="1" applyFont="1" applyFill="1" applyBorder="1"/>
    <xf numFmtId="0" fontId="8" fillId="17" borderId="0" xfId="0" applyFont="1" applyFill="1"/>
    <xf numFmtId="1" fontId="10" fillId="24" borderId="5" xfId="0" applyNumberFormat="1" applyFont="1" applyFill="1" applyBorder="1"/>
    <xf numFmtId="0" fontId="22" fillId="25" borderId="0" xfId="0" applyFont="1" applyFill="1"/>
    <xf numFmtId="0" fontId="7" fillId="25" borderId="0" xfId="0" applyFont="1" applyFill="1"/>
    <xf numFmtId="0" fontId="6" fillId="26" borderId="5" xfId="0" applyFont="1" applyFill="1" applyBorder="1" applyAlignment="1">
      <alignment horizontal="center" vertical="center" wrapText="1"/>
    </xf>
    <xf numFmtId="0" fontId="15" fillId="28" borderId="5" xfId="0" applyFont="1" applyFill="1" applyBorder="1"/>
    <xf numFmtId="0" fontId="22" fillId="27" borderId="0" xfId="0" applyFont="1" applyFill="1"/>
    <xf numFmtId="0" fontId="19" fillId="27" borderId="0" xfId="0" applyFont="1" applyFill="1"/>
    <xf numFmtId="0" fontId="7" fillId="29" borderId="4" xfId="0" applyFont="1" applyFill="1" applyBorder="1" applyAlignment="1">
      <alignment horizontal="center" vertical="center" wrapText="1"/>
    </xf>
    <xf numFmtId="0" fontId="33" fillId="10" borderId="5" xfId="0" applyFont="1" applyFill="1" applyBorder="1"/>
    <xf numFmtId="0" fontId="13" fillId="30" borderId="0" xfId="0" applyFont="1" applyFill="1" applyAlignment="1">
      <alignment wrapText="1"/>
    </xf>
    <xf numFmtId="0" fontId="13" fillId="30" borderId="0" xfId="0" applyFont="1" applyFill="1"/>
    <xf numFmtId="0" fontId="23" fillId="30" borderId="0" xfId="0" applyFont="1" applyFill="1"/>
    <xf numFmtId="0" fontId="0" fillId="30" borderId="0" xfId="0" applyFill="1"/>
    <xf numFmtId="0" fontId="5" fillId="0" borderId="1" xfId="0" applyFont="1" applyBorder="1" applyAlignment="1">
      <alignment vertical="center" wrapText="1"/>
    </xf>
    <xf numFmtId="3" fontId="0" fillId="11" borderId="0" xfId="0" applyNumberFormat="1" applyFill="1"/>
    <xf numFmtId="0" fontId="0" fillId="11" borderId="0" xfId="1" applyNumberFormat="1" applyFont="1" applyFill="1"/>
    <xf numFmtId="0" fontId="23" fillId="11" borderId="0" xfId="0" applyFont="1" applyFill="1"/>
    <xf numFmtId="0" fontId="20" fillId="0" borderId="4" xfId="3" applyFont="1" applyAlignment="1">
      <alignment vertical="center"/>
    </xf>
    <xf numFmtId="0" fontId="34" fillId="26" borderId="5" xfId="0" applyFont="1" applyFill="1" applyBorder="1" applyAlignment="1">
      <alignment horizontal="center" vertical="center" wrapText="1"/>
    </xf>
    <xf numFmtId="0" fontId="35" fillId="28" borderId="5" xfId="0" applyFont="1" applyFill="1" applyBorder="1"/>
    <xf numFmtId="164" fontId="35" fillId="31" borderId="5" xfId="0" applyNumberFormat="1" applyFont="1" applyFill="1" applyBorder="1"/>
    <xf numFmtId="164" fontId="36" fillId="32" borderId="5" xfId="0" applyNumberFormat="1" applyFont="1" applyFill="1" applyBorder="1"/>
    <xf numFmtId="0" fontId="26" fillId="33" borderId="5" xfId="0" applyFont="1" applyFill="1" applyBorder="1"/>
    <xf numFmtId="164" fontId="26" fillId="33" borderId="5" xfId="0" applyNumberFormat="1" applyFont="1" applyFill="1" applyBorder="1"/>
    <xf numFmtId="164" fontId="28" fillId="33" borderId="5" xfId="0" applyNumberFormat="1" applyFont="1" applyFill="1" applyBorder="1"/>
    <xf numFmtId="0" fontId="2" fillId="33" borderId="5" xfId="0" applyFont="1" applyFill="1" applyBorder="1"/>
    <xf numFmtId="164" fontId="2" fillId="33" borderId="5" xfId="0" applyNumberFormat="1" applyFont="1" applyFill="1" applyBorder="1"/>
    <xf numFmtId="0" fontId="26" fillId="0" borderId="25" xfId="3" applyFont="1" applyBorder="1" applyAlignment="1">
      <alignment horizontal="left" vertical="center"/>
    </xf>
    <xf numFmtId="3" fontId="26" fillId="0" borderId="25" xfId="3" applyNumberFormat="1" applyFont="1" applyBorder="1" applyAlignment="1">
      <alignment horizontal="center" vertical="center"/>
    </xf>
    <xf numFmtId="3" fontId="26" fillId="0" borderId="26" xfId="3" applyNumberFormat="1" applyFont="1" applyBorder="1" applyAlignment="1">
      <alignment horizontal="center" vertical="center"/>
    </xf>
    <xf numFmtId="0" fontId="26" fillId="0" borderId="27" xfId="3" applyFont="1" applyBorder="1" applyAlignment="1">
      <alignment horizontal="left" vertical="center"/>
    </xf>
    <xf numFmtId="3" fontId="26" fillId="0" borderId="27" xfId="3" applyNumberFormat="1" applyFont="1" applyBorder="1" applyAlignment="1">
      <alignment horizontal="center" vertical="center"/>
    </xf>
    <xf numFmtId="0" fontId="26" fillId="0" borderId="28" xfId="3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6" fillId="0" borderId="32" xfId="3" applyFont="1" applyBorder="1" applyAlignment="1">
      <alignment horizontal="left" vertical="center"/>
    </xf>
    <xf numFmtId="3" fontId="14" fillId="0" borderId="27" xfId="3" applyNumberFormat="1" applyBorder="1" applyAlignment="1">
      <alignment horizontal="center"/>
    </xf>
    <xf numFmtId="3" fontId="26" fillId="0" borderId="32" xfId="3" applyNumberFormat="1" applyFont="1" applyBorder="1" applyAlignment="1">
      <alignment horizontal="center" vertical="center"/>
    </xf>
    <xf numFmtId="0" fontId="14" fillId="0" borderId="27" xfId="3" applyBorder="1"/>
    <xf numFmtId="0" fontId="6" fillId="34" borderId="5" xfId="0" applyFont="1" applyFill="1" applyBorder="1" applyAlignment="1">
      <alignment horizontal="center"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7" fillId="36" borderId="4" xfId="0" applyFont="1" applyFill="1" applyBorder="1" applyAlignment="1">
      <alignment horizontal="center" vertical="center" wrapText="1"/>
    </xf>
    <xf numFmtId="0" fontId="9" fillId="36" borderId="5" xfId="0" applyFont="1" applyFill="1" applyBorder="1"/>
    <xf numFmtId="1" fontId="26" fillId="0" borderId="5" xfId="0" applyNumberFormat="1" applyFont="1" applyBorder="1"/>
    <xf numFmtId="0" fontId="28" fillId="35" borderId="5" xfId="0" applyFont="1" applyFill="1" applyBorder="1"/>
    <xf numFmtId="0" fontId="34" fillId="34" borderId="5" xfId="0" applyFont="1" applyFill="1" applyBorder="1" applyAlignment="1">
      <alignment horizontal="center" vertical="center" wrapText="1"/>
    </xf>
    <xf numFmtId="165" fontId="26" fillId="15" borderId="5" xfId="0" applyNumberFormat="1" applyFont="1" applyFill="1" applyBorder="1"/>
    <xf numFmtId="0" fontId="20" fillId="39" borderId="4" xfId="3" applyFont="1" applyFill="1" applyAlignment="1">
      <alignment vertical="center"/>
    </xf>
    <xf numFmtId="0" fontId="29" fillId="39" borderId="17" xfId="3" applyFont="1" applyFill="1" applyBorder="1" applyAlignment="1">
      <alignment horizontal="center" vertical="center"/>
    </xf>
    <xf numFmtId="0" fontId="13" fillId="30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13" fillId="30" borderId="15" xfId="0" applyFont="1" applyFill="1" applyBorder="1"/>
    <xf numFmtId="164" fontId="16" fillId="40" borderId="5" xfId="0" applyNumberFormat="1" applyFont="1" applyFill="1" applyBorder="1"/>
    <xf numFmtId="0" fontId="0" fillId="41" borderId="15" xfId="0" applyFill="1" applyBorder="1"/>
    <xf numFmtId="0" fontId="26" fillId="41" borderId="30" xfId="3" applyFont="1" applyFill="1" applyBorder="1" applyAlignment="1">
      <alignment horizontal="left" vertical="center"/>
    </xf>
    <xf numFmtId="164" fontId="28" fillId="42" borderId="30" xfId="3" applyNumberFormat="1" applyFont="1" applyFill="1" applyBorder="1" applyAlignment="1">
      <alignment horizontal="center" vertical="center"/>
    </xf>
    <xf numFmtId="0" fontId="26" fillId="41" borderId="26" xfId="3" applyFont="1" applyFill="1" applyBorder="1" applyAlignment="1">
      <alignment horizontal="left" vertical="center"/>
    </xf>
    <xf numFmtId="164" fontId="28" fillId="42" borderId="26" xfId="3" applyNumberFormat="1" applyFont="1" applyFill="1" applyBorder="1" applyAlignment="1">
      <alignment horizontal="center" vertical="center"/>
    </xf>
    <xf numFmtId="164" fontId="28" fillId="42" borderId="17" xfId="3" applyNumberFormat="1" applyFont="1" applyFill="1" applyBorder="1" applyAlignment="1">
      <alignment horizontal="center" vertical="center"/>
    </xf>
    <xf numFmtId="0" fontId="19" fillId="38" borderId="0" xfId="0" applyFont="1" applyFill="1"/>
    <xf numFmtId="0" fontId="13" fillId="38" borderId="0" xfId="0" applyFont="1" applyFill="1"/>
    <xf numFmtId="0" fontId="18" fillId="38" borderId="0" xfId="0" applyFont="1" applyFill="1"/>
    <xf numFmtId="172" fontId="0" fillId="41" borderId="0" xfId="1" applyNumberFormat="1" applyFont="1" applyFill="1" applyAlignment="1">
      <alignment horizontal="center" vertical="center"/>
    </xf>
    <xf numFmtId="172" fontId="0" fillId="41" borderId="0" xfId="0" applyNumberFormat="1" applyFill="1" applyAlignment="1">
      <alignment horizontal="center" vertical="center"/>
    </xf>
    <xf numFmtId="171" fontId="2" fillId="41" borderId="2" xfId="0" applyNumberFormat="1" applyFont="1" applyFill="1" applyBorder="1"/>
    <xf numFmtId="169" fontId="0" fillId="41" borderId="0" xfId="1" applyNumberFormat="1" applyFont="1" applyFill="1"/>
    <xf numFmtId="167" fontId="0" fillId="41" borderId="0" xfId="0" applyNumberFormat="1" applyFill="1"/>
    <xf numFmtId="171" fontId="0" fillId="41" borderId="0" xfId="0" applyNumberFormat="1" applyFill="1"/>
    <xf numFmtId="169" fontId="0" fillId="41" borderId="0" xfId="0" applyNumberFormat="1" applyFill="1"/>
    <xf numFmtId="170" fontId="0" fillId="41" borderId="0" xfId="0" applyNumberFormat="1" applyFill="1"/>
    <xf numFmtId="164" fontId="0" fillId="41" borderId="0" xfId="0" applyNumberFormat="1" applyFill="1"/>
    <xf numFmtId="171" fontId="23" fillId="41" borderId="0" xfId="0" applyNumberFormat="1" applyFont="1" applyFill="1"/>
    <xf numFmtId="0" fontId="13" fillId="38" borderId="4" xfId="0" applyFont="1" applyFill="1" applyBorder="1" applyAlignment="1">
      <alignment horizontal="center" wrapText="1"/>
    </xf>
    <xf numFmtId="0" fontId="2" fillId="38" borderId="2" xfId="0" applyFont="1" applyFill="1" applyBorder="1"/>
    <xf numFmtId="0" fontId="0" fillId="38" borderId="0" xfId="0" applyFill="1"/>
    <xf numFmtId="0" fontId="13" fillId="38" borderId="4" xfId="0" applyFont="1" applyFill="1" applyBorder="1" applyAlignment="1">
      <alignment horizontal="center" wrapText="1"/>
    </xf>
    <xf numFmtId="0" fontId="4" fillId="26" borderId="18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21" borderId="1" xfId="0" applyFont="1" applyFill="1" applyBorder="1" applyAlignment="1">
      <alignment horizontal="center" vertical="center" wrapText="1"/>
    </xf>
    <xf numFmtId="0" fontId="2" fillId="20" borderId="2" xfId="0" applyFont="1" applyFill="1" applyBorder="1"/>
    <xf numFmtId="0" fontId="2" fillId="20" borderId="3" xfId="0" applyFont="1" applyFill="1" applyBorder="1"/>
    <xf numFmtId="0" fontId="4" fillId="19" borderId="19" xfId="0" applyFont="1" applyFill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21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 wrapText="1"/>
    </xf>
    <xf numFmtId="0" fontId="2" fillId="20" borderId="11" xfId="0" applyFont="1" applyFill="1" applyBorder="1"/>
    <xf numFmtId="0" fontId="2" fillId="20" borderId="12" xfId="0" applyFont="1" applyFill="1" applyBorder="1"/>
    <xf numFmtId="0" fontId="4" fillId="23" borderId="1" xfId="0" applyFont="1" applyFill="1" applyBorder="1" applyAlignment="1">
      <alignment horizontal="center" vertical="center" wrapText="1"/>
    </xf>
    <xf numFmtId="0" fontId="32" fillId="20" borderId="0" xfId="0" applyFont="1" applyFill="1" applyAlignment="1">
      <alignment horizontal="center" wrapText="1"/>
    </xf>
    <xf numFmtId="0" fontId="13" fillId="20" borderId="0" xfId="0" applyFont="1" applyFill="1" applyAlignment="1">
      <alignment horizontal="center" wrapText="1"/>
    </xf>
    <xf numFmtId="0" fontId="4" fillId="23" borderId="18" xfId="0" applyFont="1" applyFill="1" applyBorder="1" applyAlignment="1">
      <alignment horizontal="center" vertical="center" wrapText="1"/>
    </xf>
    <xf numFmtId="0" fontId="19" fillId="0" borderId="0" xfId="0" applyFont="1"/>
    <xf numFmtId="0" fontId="4" fillId="34" borderId="1" xfId="0" applyFont="1" applyFill="1" applyBorder="1" applyAlignment="1">
      <alignment horizontal="center" vertical="center" wrapText="1"/>
    </xf>
    <xf numFmtId="0" fontId="2" fillId="35" borderId="2" xfId="0" applyFont="1" applyFill="1" applyBorder="1"/>
    <xf numFmtId="0" fontId="2" fillId="35" borderId="3" xfId="0" applyFont="1" applyFill="1" applyBorder="1"/>
    <xf numFmtId="0" fontId="28" fillId="26" borderId="4" xfId="0" applyFont="1" applyFill="1" applyBorder="1" applyAlignment="1">
      <alignment horizontal="center" vertical="center" wrapText="1"/>
    </xf>
    <xf numFmtId="0" fontId="28" fillId="26" borderId="18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28" fillId="34" borderId="1" xfId="0" applyFont="1" applyFill="1" applyBorder="1" applyAlignment="1">
      <alignment horizontal="center" vertical="center" wrapText="1"/>
    </xf>
    <xf numFmtId="0" fontId="13" fillId="38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15" fillId="37" borderId="4" xfId="3" applyFont="1" applyFill="1" applyAlignment="1">
      <alignment horizontal="center" vertical="center"/>
    </xf>
    <xf numFmtId="0" fontId="3" fillId="0" borderId="4" xfId="3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4220E838-D5BB-0445-B819-07BEFF063490}"/>
    <cellStyle name="Normal 3" xfId="3" xr:uid="{915CE609-2786-2D48-B0CE-F21EF50BD0A7}"/>
  </cellStyles>
  <dxfs count="0"/>
  <tableStyles count="0" defaultTableStyle="TableStyleMedium2" defaultPivotStyle="PivotStyleLight16"/>
  <colors>
    <mruColors>
      <color rgb="FF2E74B6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863601</xdr:colOff>
      <xdr:row>25</xdr:row>
      <xdr:rowOff>84666</xdr:rowOff>
    </xdr:from>
    <xdr:to>
      <xdr:col>20</xdr:col>
      <xdr:colOff>33867</xdr:colOff>
      <xdr:row>35</xdr:row>
      <xdr:rowOff>84667</xdr:rowOff>
    </xdr:to>
    <xdr:sp macro="" textlink="">
      <xdr:nvSpPr>
        <xdr:cNvPr id="92" name="OpenSolver1">
          <a:extLst>
            <a:ext uri="{FF2B5EF4-FFF2-40B4-BE49-F238E27FC236}">
              <a16:creationId xmlns:a16="http://schemas.microsoft.com/office/drawing/2014/main" id="{9AE6C477-C748-B1B3-1536-440458422CC0}"/>
            </a:ext>
          </a:extLst>
        </xdr:cNvPr>
        <xdr:cNvSpPr/>
      </xdr:nvSpPr>
      <xdr:spPr>
        <a:xfrm>
          <a:off x="18355734" y="4893733"/>
          <a:ext cx="3556000" cy="186266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11</xdr:col>
      <xdr:colOff>897467</xdr:colOff>
      <xdr:row>5</xdr:row>
      <xdr:rowOff>0</xdr:rowOff>
    </xdr:from>
    <xdr:to>
      <xdr:col>18</xdr:col>
      <xdr:colOff>67733</xdr:colOff>
      <xdr:row>20</xdr:row>
      <xdr:rowOff>0</xdr:rowOff>
    </xdr:to>
    <xdr:sp macro="" textlink="">
      <xdr:nvSpPr>
        <xdr:cNvPr id="93" name="OpenSolver2">
          <a:extLst>
            <a:ext uri="{FF2B5EF4-FFF2-40B4-BE49-F238E27FC236}">
              <a16:creationId xmlns:a16="http://schemas.microsoft.com/office/drawing/2014/main" id="{3F367783-4A11-B3D0-91A8-CB58FBC7D309}"/>
            </a:ext>
          </a:extLst>
        </xdr:cNvPr>
        <xdr:cNvSpPr/>
      </xdr:nvSpPr>
      <xdr:spPr>
        <a:xfrm>
          <a:off x="14071600" y="1083733"/>
          <a:ext cx="6553200" cy="2794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12</xdr:col>
      <xdr:colOff>440267</xdr:colOff>
      <xdr:row>36</xdr:row>
      <xdr:rowOff>118533</xdr:rowOff>
    </xdr:from>
    <xdr:to>
      <xdr:col>14</xdr:col>
      <xdr:colOff>541867</xdr:colOff>
      <xdr:row>46</xdr:row>
      <xdr:rowOff>118533</xdr:rowOff>
    </xdr:to>
    <xdr:sp macro="" textlink="">
      <xdr:nvSpPr>
        <xdr:cNvPr id="94" name="OpenSolver3">
          <a:extLst>
            <a:ext uri="{FF2B5EF4-FFF2-40B4-BE49-F238E27FC236}">
              <a16:creationId xmlns:a16="http://schemas.microsoft.com/office/drawing/2014/main" id="{B02DBFAD-8EF6-513F-36CD-D4B43E00D917}"/>
            </a:ext>
          </a:extLst>
        </xdr:cNvPr>
        <xdr:cNvSpPr/>
      </xdr:nvSpPr>
      <xdr:spPr>
        <a:xfrm>
          <a:off x="15036800" y="6976533"/>
          <a:ext cx="2997200" cy="186266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8</xdr:col>
      <xdr:colOff>321733</xdr:colOff>
      <xdr:row>50</xdr:row>
      <xdr:rowOff>16933</xdr:rowOff>
    </xdr:from>
    <xdr:to>
      <xdr:col>13</xdr:col>
      <xdr:colOff>592666</xdr:colOff>
      <xdr:row>53</xdr:row>
      <xdr:rowOff>16933</xdr:rowOff>
    </xdr:to>
    <xdr:sp macro="" textlink="">
      <xdr:nvSpPr>
        <xdr:cNvPr id="95" name="OpenSolver4">
          <a:extLst>
            <a:ext uri="{FF2B5EF4-FFF2-40B4-BE49-F238E27FC236}">
              <a16:creationId xmlns:a16="http://schemas.microsoft.com/office/drawing/2014/main" id="{E6A6CEBB-434E-E597-3E56-F926ECBD7136}"/>
            </a:ext>
          </a:extLst>
        </xdr:cNvPr>
        <xdr:cNvSpPr/>
      </xdr:nvSpPr>
      <xdr:spPr>
        <a:xfrm>
          <a:off x="11176000" y="9482666"/>
          <a:ext cx="5554133" cy="5588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96" name="OpenSolver5">
          <a:extLst>
            <a:ext uri="{FF2B5EF4-FFF2-40B4-BE49-F238E27FC236}">
              <a16:creationId xmlns:a16="http://schemas.microsoft.com/office/drawing/2014/main" id="{FF12F165-BE14-EFAE-439C-4E820CBDB03B}"/>
            </a:ext>
          </a:extLst>
        </xdr:cNvPr>
        <xdr:cNvSpPr/>
      </xdr:nvSpPr>
      <xdr:spPr>
        <a:xfrm>
          <a:off x="6273800" y="22072600"/>
          <a:ext cx="1562100" cy="1778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</xdr:col>
      <xdr:colOff>977900</xdr:colOff>
      <xdr:row>122</xdr:row>
      <xdr:rowOff>101600</xdr:rowOff>
    </xdr:from>
    <xdr:to>
      <xdr:col>4</xdr:col>
      <xdr:colOff>218389</xdr:colOff>
      <xdr:row>123</xdr:row>
      <xdr:rowOff>50800</xdr:rowOff>
    </xdr:to>
    <xdr:sp macro="" textlink="">
      <xdr:nvSpPr>
        <xdr:cNvPr id="97" name="OpenSolver6">
          <a:extLst>
            <a:ext uri="{FF2B5EF4-FFF2-40B4-BE49-F238E27FC236}">
              <a16:creationId xmlns:a16="http://schemas.microsoft.com/office/drawing/2014/main" id="{05E84C7B-3674-A2D6-A199-07EEB19C75C6}"/>
            </a:ext>
          </a:extLst>
        </xdr:cNvPr>
        <xdr:cNvSpPr/>
      </xdr:nvSpPr>
      <xdr:spPr>
        <a:xfrm>
          <a:off x="6261100" y="21996400"/>
          <a:ext cx="231089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4</xdr:col>
      <xdr:colOff>0</xdr:colOff>
      <xdr:row>100</xdr:row>
      <xdr:rowOff>0</xdr:rowOff>
    </xdr:to>
    <xdr:sp macro="" textlink="">
      <xdr:nvSpPr>
        <xdr:cNvPr id="98" name="OpenSolver7">
          <a:extLst>
            <a:ext uri="{FF2B5EF4-FFF2-40B4-BE49-F238E27FC236}">
              <a16:creationId xmlns:a16="http://schemas.microsoft.com/office/drawing/2014/main" id="{EDB14C9D-10C2-FD5C-042E-0C9513702210}"/>
            </a:ext>
          </a:extLst>
        </xdr:cNvPr>
        <xdr:cNvSpPr/>
      </xdr:nvSpPr>
      <xdr:spPr>
        <a:xfrm>
          <a:off x="3302000" y="17792700"/>
          <a:ext cx="2971800" cy="177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7</xdr:col>
      <xdr:colOff>0</xdr:colOff>
      <xdr:row>100</xdr:row>
      <xdr:rowOff>0</xdr:rowOff>
    </xdr:to>
    <xdr:sp macro="" textlink="">
      <xdr:nvSpPr>
        <xdr:cNvPr id="99" name="OpenSolver8">
          <a:extLst>
            <a:ext uri="{FF2B5EF4-FFF2-40B4-BE49-F238E27FC236}">
              <a16:creationId xmlns:a16="http://schemas.microsoft.com/office/drawing/2014/main" id="{08681631-0EB2-84F8-C8B9-FCDFFB7E4FB7}"/>
            </a:ext>
          </a:extLst>
        </xdr:cNvPr>
        <xdr:cNvSpPr/>
      </xdr:nvSpPr>
      <xdr:spPr>
        <a:xfrm>
          <a:off x="6273800" y="17792700"/>
          <a:ext cx="3543300" cy="177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4</xdr:col>
      <xdr:colOff>0</xdr:colOff>
      <xdr:row>99</xdr:row>
      <xdr:rowOff>88900</xdr:rowOff>
    </xdr:from>
    <xdr:to>
      <xdr:col>4</xdr:col>
      <xdr:colOff>0</xdr:colOff>
      <xdr:row>99</xdr:row>
      <xdr:rowOff>88900</xdr:rowOff>
    </xdr:to>
    <xdr:cxnSp macro="">
      <xdr:nvCxnSpPr>
        <xdr:cNvPr id="100" name="OpenSolver9">
          <a:extLst>
            <a:ext uri="{FF2B5EF4-FFF2-40B4-BE49-F238E27FC236}">
              <a16:creationId xmlns:a16="http://schemas.microsoft.com/office/drawing/2014/main" id="{620AB76C-43D5-8A8E-3CAE-67EE840DF723}"/>
            </a:ext>
          </a:extLst>
        </xdr:cNvPr>
        <xdr:cNvCxnSpPr>
          <a:stCxn id="98" idx="3"/>
          <a:endCxn id="99" idx="1"/>
        </xdr:cNvCxnSpPr>
      </xdr:nvCxnSpPr>
      <xdr:spPr>
        <a:xfrm>
          <a:off x="6273800" y="17881600"/>
          <a:ext cx="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98</xdr:row>
      <xdr:rowOff>139700</xdr:rowOff>
    </xdr:from>
    <xdr:to>
      <xdr:col>4</xdr:col>
      <xdr:colOff>190500</xdr:colOff>
      <xdr:row>100</xdr:row>
      <xdr:rowOff>38100</xdr:rowOff>
    </xdr:to>
    <xdr:sp macro="" textlink="">
      <xdr:nvSpPr>
        <xdr:cNvPr id="101" name="OpenSolver10">
          <a:extLst>
            <a:ext uri="{FF2B5EF4-FFF2-40B4-BE49-F238E27FC236}">
              <a16:creationId xmlns:a16="http://schemas.microsoft.com/office/drawing/2014/main" id="{43EDEE5D-114F-2B58-BAB6-A9D35EC27436}"/>
            </a:ext>
          </a:extLst>
        </xdr:cNvPr>
        <xdr:cNvSpPr/>
      </xdr:nvSpPr>
      <xdr:spPr>
        <a:xfrm>
          <a:off x="6083300" y="17754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4</xdr:col>
      <xdr:colOff>0</xdr:colOff>
      <xdr:row>108</xdr:row>
      <xdr:rowOff>0</xdr:rowOff>
    </xdr:to>
    <xdr:sp macro="" textlink="">
      <xdr:nvSpPr>
        <xdr:cNvPr id="102" name="OpenSolver11">
          <a:extLst>
            <a:ext uri="{FF2B5EF4-FFF2-40B4-BE49-F238E27FC236}">
              <a16:creationId xmlns:a16="http://schemas.microsoft.com/office/drawing/2014/main" id="{CEEEE45D-F6DC-08AF-F19C-A56CCCA2A97A}"/>
            </a:ext>
          </a:extLst>
        </xdr:cNvPr>
        <xdr:cNvSpPr/>
      </xdr:nvSpPr>
      <xdr:spPr>
        <a:xfrm>
          <a:off x="3302000" y="18503900"/>
          <a:ext cx="2971800" cy="889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7</xdr:col>
      <xdr:colOff>0</xdr:colOff>
      <xdr:row>108</xdr:row>
      <xdr:rowOff>0</xdr:rowOff>
    </xdr:to>
    <xdr:sp macro="" textlink="">
      <xdr:nvSpPr>
        <xdr:cNvPr id="103" name="OpenSolver12">
          <a:extLst>
            <a:ext uri="{FF2B5EF4-FFF2-40B4-BE49-F238E27FC236}">
              <a16:creationId xmlns:a16="http://schemas.microsoft.com/office/drawing/2014/main" id="{1828E8CD-1C5C-9CE2-34F4-1D4742866AE0}"/>
            </a:ext>
          </a:extLst>
        </xdr:cNvPr>
        <xdr:cNvSpPr/>
      </xdr:nvSpPr>
      <xdr:spPr>
        <a:xfrm>
          <a:off x="6273800" y="18503900"/>
          <a:ext cx="3543300" cy="889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8000"/>
              </a:solidFill>
            </a:rPr>
            <a:t>=</a:t>
          </a:r>
        </a:p>
      </xdr:txBody>
    </xdr:sp>
    <xdr:clientData/>
  </xdr:twoCellAnchor>
  <xdr:twoCellAnchor>
    <xdr:from>
      <xdr:col>4</xdr:col>
      <xdr:colOff>0</xdr:colOff>
      <xdr:row>105</xdr:row>
      <xdr:rowOff>88900</xdr:rowOff>
    </xdr:from>
    <xdr:to>
      <xdr:col>4</xdr:col>
      <xdr:colOff>0</xdr:colOff>
      <xdr:row>105</xdr:row>
      <xdr:rowOff>88900</xdr:rowOff>
    </xdr:to>
    <xdr:cxnSp macro="">
      <xdr:nvCxnSpPr>
        <xdr:cNvPr id="104" name="OpenSolver13">
          <a:extLst>
            <a:ext uri="{FF2B5EF4-FFF2-40B4-BE49-F238E27FC236}">
              <a16:creationId xmlns:a16="http://schemas.microsoft.com/office/drawing/2014/main" id="{A206C32A-9C77-8835-55A6-8D83AD0A6E56}"/>
            </a:ext>
          </a:extLst>
        </xdr:cNvPr>
        <xdr:cNvCxnSpPr>
          <a:stCxn id="102" idx="3"/>
          <a:endCxn id="103" idx="1"/>
        </xdr:cNvCxnSpPr>
      </xdr:nvCxnSpPr>
      <xdr:spPr>
        <a:xfrm>
          <a:off x="6273800" y="18948400"/>
          <a:ext cx="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104</xdr:row>
      <xdr:rowOff>139700</xdr:rowOff>
    </xdr:from>
    <xdr:to>
      <xdr:col>4</xdr:col>
      <xdr:colOff>190500</xdr:colOff>
      <xdr:row>106</xdr:row>
      <xdr:rowOff>38100</xdr:rowOff>
    </xdr:to>
    <xdr:sp macro="" textlink="">
      <xdr:nvSpPr>
        <xdr:cNvPr id="105" name="OpenSolver14">
          <a:extLst>
            <a:ext uri="{FF2B5EF4-FFF2-40B4-BE49-F238E27FC236}">
              <a16:creationId xmlns:a16="http://schemas.microsoft.com/office/drawing/2014/main" id="{69F68397-D585-5C60-5DD9-76C14EB19B4E}"/>
            </a:ext>
          </a:extLst>
        </xdr:cNvPr>
        <xdr:cNvSpPr/>
      </xdr:nvSpPr>
      <xdr:spPr>
        <a:xfrm>
          <a:off x="6083300" y="18821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66</xdr:row>
      <xdr:rowOff>0</xdr:rowOff>
    </xdr:to>
    <xdr:sp macro="" textlink="">
      <xdr:nvSpPr>
        <xdr:cNvPr id="106" name="OpenSolver15">
          <a:extLst>
            <a:ext uri="{FF2B5EF4-FFF2-40B4-BE49-F238E27FC236}">
              <a16:creationId xmlns:a16="http://schemas.microsoft.com/office/drawing/2014/main" id="{11B2962F-88C0-EDE7-F492-C982D1E34BF0}"/>
            </a:ext>
          </a:extLst>
        </xdr:cNvPr>
        <xdr:cNvSpPr/>
      </xdr:nvSpPr>
      <xdr:spPr>
        <a:xfrm>
          <a:off x="3302000" y="10858500"/>
          <a:ext cx="2971800" cy="10668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4</xdr:col>
      <xdr:colOff>0</xdr:colOff>
      <xdr:row>60</xdr:row>
      <xdr:rowOff>0</xdr:rowOff>
    </xdr:from>
    <xdr:to>
      <xdr:col>7</xdr:col>
      <xdr:colOff>0</xdr:colOff>
      <xdr:row>66</xdr:row>
      <xdr:rowOff>0</xdr:rowOff>
    </xdr:to>
    <xdr:sp macro="" textlink="">
      <xdr:nvSpPr>
        <xdr:cNvPr id="107" name="OpenSolver16">
          <a:extLst>
            <a:ext uri="{FF2B5EF4-FFF2-40B4-BE49-F238E27FC236}">
              <a16:creationId xmlns:a16="http://schemas.microsoft.com/office/drawing/2014/main" id="{12968FF0-2586-9994-8997-5E54067BA462}"/>
            </a:ext>
          </a:extLst>
        </xdr:cNvPr>
        <xdr:cNvSpPr/>
      </xdr:nvSpPr>
      <xdr:spPr>
        <a:xfrm>
          <a:off x="6273800" y="10858500"/>
          <a:ext cx="3543300" cy="10668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9900CC"/>
              </a:solidFill>
            </a:rPr>
            <a:t>=</a:t>
          </a:r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0</xdr:colOff>
      <xdr:row>63</xdr:row>
      <xdr:rowOff>0</xdr:rowOff>
    </xdr:to>
    <xdr:cxnSp macro="">
      <xdr:nvCxnSpPr>
        <xdr:cNvPr id="108" name="OpenSolver17">
          <a:extLst>
            <a:ext uri="{FF2B5EF4-FFF2-40B4-BE49-F238E27FC236}">
              <a16:creationId xmlns:a16="http://schemas.microsoft.com/office/drawing/2014/main" id="{5CFCE786-9863-F798-C1AE-36B2B62260B6}"/>
            </a:ext>
          </a:extLst>
        </xdr:cNvPr>
        <xdr:cNvCxnSpPr>
          <a:stCxn id="106" idx="3"/>
          <a:endCxn id="107" idx="1"/>
        </xdr:cNvCxnSpPr>
      </xdr:nvCxnSpPr>
      <xdr:spPr>
        <a:xfrm>
          <a:off x="6273800" y="11391900"/>
          <a:ext cx="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62</xdr:row>
      <xdr:rowOff>50800</xdr:rowOff>
    </xdr:from>
    <xdr:to>
      <xdr:col>4</xdr:col>
      <xdr:colOff>190500</xdr:colOff>
      <xdr:row>63</xdr:row>
      <xdr:rowOff>127000</xdr:rowOff>
    </xdr:to>
    <xdr:sp macro="" textlink="">
      <xdr:nvSpPr>
        <xdr:cNvPr id="109" name="OpenSolver18">
          <a:extLst>
            <a:ext uri="{FF2B5EF4-FFF2-40B4-BE49-F238E27FC236}">
              <a16:creationId xmlns:a16="http://schemas.microsoft.com/office/drawing/2014/main" id="{CDEADADB-A1F0-7D85-396D-1B324C365ED7}"/>
            </a:ext>
          </a:extLst>
        </xdr:cNvPr>
        <xdr:cNvSpPr/>
      </xdr:nvSpPr>
      <xdr:spPr>
        <a:xfrm>
          <a:off x="6083300" y="112649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4</xdr:col>
      <xdr:colOff>0</xdr:colOff>
      <xdr:row>74</xdr:row>
      <xdr:rowOff>0</xdr:rowOff>
    </xdr:to>
    <xdr:sp macro="" textlink="">
      <xdr:nvSpPr>
        <xdr:cNvPr id="110" name="OpenSolver19">
          <a:extLst>
            <a:ext uri="{FF2B5EF4-FFF2-40B4-BE49-F238E27FC236}">
              <a16:creationId xmlns:a16="http://schemas.microsoft.com/office/drawing/2014/main" id="{4F6B2DB8-DA01-FB13-606A-FAC947D40537}"/>
            </a:ext>
          </a:extLst>
        </xdr:cNvPr>
        <xdr:cNvSpPr/>
      </xdr:nvSpPr>
      <xdr:spPr>
        <a:xfrm>
          <a:off x="3302000" y="12458700"/>
          <a:ext cx="2971800" cy="8890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7</xdr:col>
      <xdr:colOff>0</xdr:colOff>
      <xdr:row>74</xdr:row>
      <xdr:rowOff>0</xdr:rowOff>
    </xdr:to>
    <xdr:sp macro="" textlink="">
      <xdr:nvSpPr>
        <xdr:cNvPr id="111" name="OpenSolver20">
          <a:extLst>
            <a:ext uri="{FF2B5EF4-FFF2-40B4-BE49-F238E27FC236}">
              <a16:creationId xmlns:a16="http://schemas.microsoft.com/office/drawing/2014/main" id="{623C4DB9-344E-CED9-D112-C5F0E66DD190}"/>
            </a:ext>
          </a:extLst>
        </xdr:cNvPr>
        <xdr:cNvSpPr/>
      </xdr:nvSpPr>
      <xdr:spPr>
        <a:xfrm>
          <a:off x="6273800" y="12458700"/>
          <a:ext cx="3543300" cy="8890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4</xdr:col>
      <xdr:colOff>0</xdr:colOff>
      <xdr:row>71</xdr:row>
      <xdr:rowOff>88900</xdr:rowOff>
    </xdr:from>
    <xdr:to>
      <xdr:col>4</xdr:col>
      <xdr:colOff>0</xdr:colOff>
      <xdr:row>71</xdr:row>
      <xdr:rowOff>88900</xdr:rowOff>
    </xdr:to>
    <xdr:cxnSp macro="">
      <xdr:nvCxnSpPr>
        <xdr:cNvPr id="112" name="OpenSolver21">
          <a:extLst>
            <a:ext uri="{FF2B5EF4-FFF2-40B4-BE49-F238E27FC236}">
              <a16:creationId xmlns:a16="http://schemas.microsoft.com/office/drawing/2014/main" id="{A2E88CCF-2C52-E343-F8C0-6A5D08341827}"/>
            </a:ext>
          </a:extLst>
        </xdr:cNvPr>
        <xdr:cNvCxnSpPr>
          <a:stCxn id="110" idx="3"/>
          <a:endCxn id="111" idx="1"/>
        </xdr:cNvCxnSpPr>
      </xdr:nvCxnSpPr>
      <xdr:spPr>
        <a:xfrm>
          <a:off x="6273800" y="12903200"/>
          <a:ext cx="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70</xdr:row>
      <xdr:rowOff>139700</xdr:rowOff>
    </xdr:from>
    <xdr:to>
      <xdr:col>4</xdr:col>
      <xdr:colOff>190500</xdr:colOff>
      <xdr:row>72</xdr:row>
      <xdr:rowOff>38100</xdr:rowOff>
    </xdr:to>
    <xdr:sp macro="" textlink="">
      <xdr:nvSpPr>
        <xdr:cNvPr id="113" name="OpenSolver22">
          <a:extLst>
            <a:ext uri="{FF2B5EF4-FFF2-40B4-BE49-F238E27FC236}">
              <a16:creationId xmlns:a16="http://schemas.microsoft.com/office/drawing/2014/main" id="{5B619BB2-E84D-E856-362D-4D218D118043}"/>
            </a:ext>
          </a:extLst>
        </xdr:cNvPr>
        <xdr:cNvSpPr/>
      </xdr:nvSpPr>
      <xdr:spPr>
        <a:xfrm>
          <a:off x="6083300" y="127762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82</xdr:row>
      <xdr:rowOff>0</xdr:rowOff>
    </xdr:to>
    <xdr:sp macro="" textlink="">
      <xdr:nvSpPr>
        <xdr:cNvPr id="114" name="OpenSolverB78:D82">
          <a:extLst>
            <a:ext uri="{FF2B5EF4-FFF2-40B4-BE49-F238E27FC236}">
              <a16:creationId xmlns:a16="http://schemas.microsoft.com/office/drawing/2014/main" id="{A6522DF2-3ED9-2679-BD3D-2D6938F3B7AE}"/>
            </a:ext>
          </a:extLst>
        </xdr:cNvPr>
        <xdr:cNvSpPr/>
      </xdr:nvSpPr>
      <xdr:spPr>
        <a:xfrm>
          <a:off x="3302000" y="13881100"/>
          <a:ext cx="2971800" cy="8890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CC33"/>
              </a:solidFill>
            </a:rPr>
            <a:t>1≥</a:t>
          </a:r>
        </a:p>
      </xdr:txBody>
    </xdr:sp>
    <xdr:clientData/>
  </xdr:twoCellAnchor>
  <xdr:twoCellAnchor>
    <xdr:from>
      <xdr:col>4</xdr:col>
      <xdr:colOff>491945</xdr:colOff>
      <xdr:row>38</xdr:row>
      <xdr:rowOff>48644</xdr:rowOff>
    </xdr:from>
    <xdr:to>
      <xdr:col>6</xdr:col>
      <xdr:colOff>910566</xdr:colOff>
      <xdr:row>48</xdr:row>
      <xdr:rowOff>35944</xdr:rowOff>
    </xdr:to>
    <xdr:sp macro="" textlink="">
      <xdr:nvSpPr>
        <xdr:cNvPr id="115" name="OpenSolver24">
          <a:extLst>
            <a:ext uri="{FF2B5EF4-FFF2-40B4-BE49-F238E27FC236}">
              <a16:creationId xmlns:a16="http://schemas.microsoft.com/office/drawing/2014/main" id="{0EC77A6B-CE91-3DD2-8AB4-6C8446F6CA82}"/>
            </a:ext>
          </a:extLst>
        </xdr:cNvPr>
        <xdr:cNvSpPr/>
      </xdr:nvSpPr>
      <xdr:spPr>
        <a:xfrm>
          <a:off x="6782039" y="7057606"/>
          <a:ext cx="2970602" cy="178447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96</xdr:row>
      <xdr:rowOff>0</xdr:rowOff>
    </xdr:to>
    <xdr:sp macro="" textlink="">
      <xdr:nvSpPr>
        <xdr:cNvPr id="116" name="OpenSolver25">
          <a:extLst>
            <a:ext uri="{FF2B5EF4-FFF2-40B4-BE49-F238E27FC236}">
              <a16:creationId xmlns:a16="http://schemas.microsoft.com/office/drawing/2014/main" id="{45E59C38-C770-FC7F-B9F9-EC95C9B0A11A}"/>
            </a:ext>
          </a:extLst>
        </xdr:cNvPr>
        <xdr:cNvSpPr/>
      </xdr:nvSpPr>
      <xdr:spPr>
        <a:xfrm>
          <a:off x="3302000" y="15481300"/>
          <a:ext cx="2971800" cy="17780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2</xdr:col>
      <xdr:colOff>497217</xdr:colOff>
      <xdr:row>48</xdr:row>
      <xdr:rowOff>35944</xdr:rowOff>
    </xdr:from>
    <xdr:to>
      <xdr:col>5</xdr:col>
      <xdr:colOff>419698</xdr:colOff>
      <xdr:row>86</xdr:row>
      <xdr:rowOff>0</xdr:rowOff>
    </xdr:to>
    <xdr:cxnSp macro="">
      <xdr:nvCxnSpPr>
        <xdr:cNvPr id="117" name="OpenSolver26">
          <a:extLst>
            <a:ext uri="{FF2B5EF4-FFF2-40B4-BE49-F238E27FC236}">
              <a16:creationId xmlns:a16="http://schemas.microsoft.com/office/drawing/2014/main" id="{743B4F1E-2D41-B89D-3B3F-6E50BD86499B}"/>
            </a:ext>
          </a:extLst>
        </xdr:cNvPr>
        <xdr:cNvCxnSpPr>
          <a:stCxn id="115" idx="2"/>
          <a:endCxn id="116" idx="0"/>
        </xdr:cNvCxnSpPr>
      </xdr:nvCxnSpPr>
      <xdr:spPr>
        <a:xfrm flipH="1">
          <a:off x="4798443" y="8842076"/>
          <a:ext cx="3468897" cy="6961037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307975</xdr:colOff>
      <xdr:row>66</xdr:row>
      <xdr:rowOff>44450</xdr:rowOff>
    </xdr:from>
    <xdr:to>
      <xdr:col>2</xdr:col>
      <xdr:colOff>688975</xdr:colOff>
      <xdr:row>67</xdr:row>
      <xdr:rowOff>120650</xdr:rowOff>
    </xdr:to>
    <xdr:sp macro="" textlink="">
      <xdr:nvSpPr>
        <xdr:cNvPr id="118" name="OpenSolver27">
          <a:extLst>
            <a:ext uri="{FF2B5EF4-FFF2-40B4-BE49-F238E27FC236}">
              <a16:creationId xmlns:a16="http://schemas.microsoft.com/office/drawing/2014/main" id="{FD71A7C7-5583-EB9B-4FC8-60A6CD0E7842}"/>
            </a:ext>
          </a:extLst>
        </xdr:cNvPr>
        <xdr:cNvSpPr/>
      </xdr:nvSpPr>
      <xdr:spPr>
        <a:xfrm>
          <a:off x="4600575" y="119697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826698</xdr:colOff>
      <xdr:row>11</xdr:row>
      <xdr:rowOff>0</xdr:rowOff>
    </xdr:from>
    <xdr:to>
      <xdr:col>12</xdr:col>
      <xdr:colOff>635000</xdr:colOff>
      <xdr:row>12</xdr:row>
      <xdr:rowOff>0</xdr:rowOff>
    </xdr:to>
    <xdr:sp macro="" textlink="">
      <xdr:nvSpPr>
        <xdr:cNvPr id="119" name="OpenSolverC12:E12">
          <a:extLst>
            <a:ext uri="{FF2B5EF4-FFF2-40B4-BE49-F238E27FC236}">
              <a16:creationId xmlns:a16="http://schemas.microsoft.com/office/drawing/2014/main" id="{6785D502-ABA1-7E43-5580-6E54ED3FB6AF}"/>
            </a:ext>
          </a:extLst>
        </xdr:cNvPr>
        <xdr:cNvSpPr/>
      </xdr:nvSpPr>
      <xdr:spPr>
        <a:xfrm>
          <a:off x="11657641" y="2156604"/>
          <a:ext cx="3546416" cy="179717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CC0099"/>
              </a:solidFill>
            </a:rPr>
            <a:t>1=</a:t>
          </a:r>
        </a:p>
      </xdr:txBody>
    </xdr:sp>
    <xdr:clientData/>
  </xdr:twoCellAnchor>
  <xdr:twoCellAnchor>
    <xdr:from>
      <xdr:col>6</xdr:col>
      <xdr:colOff>694906</xdr:colOff>
      <xdr:row>6</xdr:row>
      <xdr:rowOff>59906</xdr:rowOff>
    </xdr:from>
    <xdr:to>
      <xdr:col>10</xdr:col>
      <xdr:colOff>599057</xdr:colOff>
      <xdr:row>11</xdr:row>
      <xdr:rowOff>59906</xdr:rowOff>
    </xdr:to>
    <xdr:sp macro="" textlink="">
      <xdr:nvSpPr>
        <xdr:cNvPr id="120" name="OpenSolverC7:E11">
          <a:extLst>
            <a:ext uri="{FF2B5EF4-FFF2-40B4-BE49-F238E27FC236}">
              <a16:creationId xmlns:a16="http://schemas.microsoft.com/office/drawing/2014/main" id="{2FBDAAB1-2E89-A7E6-D907-7CFA97C00AC3}"/>
            </a:ext>
          </a:extLst>
        </xdr:cNvPr>
        <xdr:cNvSpPr/>
      </xdr:nvSpPr>
      <xdr:spPr>
        <a:xfrm>
          <a:off x="9536981" y="1317925"/>
          <a:ext cx="3546416" cy="898585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0=</a:t>
          </a:r>
        </a:p>
      </xdr:txBody>
    </xdr:sp>
    <xdr:clientData/>
  </xdr:twoCellAnchor>
  <xdr:twoCellAnchor>
    <xdr:from>
      <xdr:col>7</xdr:col>
      <xdr:colOff>383396</xdr:colOff>
      <xdr:row>12</xdr:row>
      <xdr:rowOff>11981</xdr:rowOff>
    </xdr:from>
    <xdr:to>
      <xdr:col>11</xdr:col>
      <xdr:colOff>623019</xdr:colOff>
      <xdr:row>16</xdr:row>
      <xdr:rowOff>11981</xdr:rowOff>
    </xdr:to>
    <xdr:sp macro="" textlink="">
      <xdr:nvSpPr>
        <xdr:cNvPr id="121" name="OpenSolverC13:E16">
          <a:extLst>
            <a:ext uri="{FF2B5EF4-FFF2-40B4-BE49-F238E27FC236}">
              <a16:creationId xmlns:a16="http://schemas.microsoft.com/office/drawing/2014/main" id="{D3F885F5-02FE-79A8-77A9-AE6802BAEA74}"/>
            </a:ext>
          </a:extLst>
        </xdr:cNvPr>
        <xdr:cNvSpPr/>
      </xdr:nvSpPr>
      <xdr:spPr>
        <a:xfrm>
          <a:off x="10219905" y="2348302"/>
          <a:ext cx="3546416" cy="718868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8000"/>
              </a:solidFill>
            </a:rPr>
            <a:t>0=</a:t>
          </a:r>
        </a:p>
      </xdr:txBody>
    </xdr:sp>
    <xdr:clientData/>
  </xdr:twoCellAnchor>
  <xdr:twoCellAnchor>
    <xdr:from>
      <xdr:col>2</xdr:col>
      <xdr:colOff>12700</xdr:colOff>
      <xdr:row>6</xdr:row>
      <xdr:rowOff>12700</xdr:rowOff>
    </xdr:from>
    <xdr:to>
      <xdr:col>2</xdr:col>
      <xdr:colOff>99006</xdr:colOff>
      <xdr:row>6</xdr:row>
      <xdr:rowOff>127000</xdr:rowOff>
    </xdr:to>
    <xdr:sp macro="" textlink="">
      <xdr:nvSpPr>
        <xdr:cNvPr id="122" name="OpenSolver31">
          <a:extLst>
            <a:ext uri="{FF2B5EF4-FFF2-40B4-BE49-F238E27FC236}">
              <a16:creationId xmlns:a16="http://schemas.microsoft.com/office/drawing/2014/main" id="{9509B29B-6736-4574-B97A-42B702C78D34}"/>
            </a:ext>
          </a:extLst>
        </xdr:cNvPr>
        <xdr:cNvSpPr/>
      </xdr:nvSpPr>
      <xdr:spPr>
        <a:xfrm>
          <a:off x="43053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6</xdr:row>
      <xdr:rowOff>12700</xdr:rowOff>
    </xdr:from>
    <xdr:to>
      <xdr:col>3</xdr:col>
      <xdr:colOff>99006</xdr:colOff>
      <xdr:row>6</xdr:row>
      <xdr:rowOff>127000</xdr:rowOff>
    </xdr:to>
    <xdr:sp macro="" textlink="">
      <xdr:nvSpPr>
        <xdr:cNvPr id="123" name="OpenSolver32">
          <a:extLst>
            <a:ext uri="{FF2B5EF4-FFF2-40B4-BE49-F238E27FC236}">
              <a16:creationId xmlns:a16="http://schemas.microsoft.com/office/drawing/2014/main" id="{E4606729-56F4-ACAB-EF5C-71C2B6CE7F57}"/>
            </a:ext>
          </a:extLst>
        </xdr:cNvPr>
        <xdr:cNvSpPr/>
      </xdr:nvSpPr>
      <xdr:spPr>
        <a:xfrm>
          <a:off x="52959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6</xdr:row>
      <xdr:rowOff>12700</xdr:rowOff>
    </xdr:from>
    <xdr:to>
      <xdr:col>4</xdr:col>
      <xdr:colOff>99006</xdr:colOff>
      <xdr:row>6</xdr:row>
      <xdr:rowOff>127000</xdr:rowOff>
    </xdr:to>
    <xdr:sp macro="" textlink="">
      <xdr:nvSpPr>
        <xdr:cNvPr id="124" name="OpenSolver33">
          <a:extLst>
            <a:ext uri="{FF2B5EF4-FFF2-40B4-BE49-F238E27FC236}">
              <a16:creationId xmlns:a16="http://schemas.microsoft.com/office/drawing/2014/main" id="{0F4B161A-5E56-D68C-8EA9-4D140B3C2CCA}"/>
            </a:ext>
          </a:extLst>
        </xdr:cNvPr>
        <xdr:cNvSpPr/>
      </xdr:nvSpPr>
      <xdr:spPr>
        <a:xfrm>
          <a:off x="62865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7</xdr:row>
      <xdr:rowOff>12700</xdr:rowOff>
    </xdr:from>
    <xdr:to>
      <xdr:col>2</xdr:col>
      <xdr:colOff>99006</xdr:colOff>
      <xdr:row>7</xdr:row>
      <xdr:rowOff>127000</xdr:rowOff>
    </xdr:to>
    <xdr:sp macro="" textlink="">
      <xdr:nvSpPr>
        <xdr:cNvPr id="125" name="OpenSolver34">
          <a:extLst>
            <a:ext uri="{FF2B5EF4-FFF2-40B4-BE49-F238E27FC236}">
              <a16:creationId xmlns:a16="http://schemas.microsoft.com/office/drawing/2014/main" id="{431A89DB-3A4C-9B69-D160-983F37F25B79}"/>
            </a:ext>
          </a:extLst>
        </xdr:cNvPr>
        <xdr:cNvSpPr/>
      </xdr:nvSpPr>
      <xdr:spPr>
        <a:xfrm>
          <a:off x="43053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7</xdr:row>
      <xdr:rowOff>12700</xdr:rowOff>
    </xdr:from>
    <xdr:to>
      <xdr:col>3</xdr:col>
      <xdr:colOff>99006</xdr:colOff>
      <xdr:row>7</xdr:row>
      <xdr:rowOff>127000</xdr:rowOff>
    </xdr:to>
    <xdr:sp macro="" textlink="">
      <xdr:nvSpPr>
        <xdr:cNvPr id="126" name="OpenSolver35">
          <a:extLst>
            <a:ext uri="{FF2B5EF4-FFF2-40B4-BE49-F238E27FC236}">
              <a16:creationId xmlns:a16="http://schemas.microsoft.com/office/drawing/2014/main" id="{6890A9A4-B229-4ABC-1077-2DC42B411582}"/>
            </a:ext>
          </a:extLst>
        </xdr:cNvPr>
        <xdr:cNvSpPr/>
      </xdr:nvSpPr>
      <xdr:spPr>
        <a:xfrm>
          <a:off x="52959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7</xdr:row>
      <xdr:rowOff>12700</xdr:rowOff>
    </xdr:from>
    <xdr:to>
      <xdr:col>4</xdr:col>
      <xdr:colOff>99006</xdr:colOff>
      <xdr:row>7</xdr:row>
      <xdr:rowOff>127000</xdr:rowOff>
    </xdr:to>
    <xdr:sp macro="" textlink="">
      <xdr:nvSpPr>
        <xdr:cNvPr id="127" name="OpenSolver36">
          <a:extLst>
            <a:ext uri="{FF2B5EF4-FFF2-40B4-BE49-F238E27FC236}">
              <a16:creationId xmlns:a16="http://schemas.microsoft.com/office/drawing/2014/main" id="{09026E92-718C-E432-5537-02572990FEE0}"/>
            </a:ext>
          </a:extLst>
        </xdr:cNvPr>
        <xdr:cNvSpPr/>
      </xdr:nvSpPr>
      <xdr:spPr>
        <a:xfrm>
          <a:off x="62865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8</xdr:row>
      <xdr:rowOff>12700</xdr:rowOff>
    </xdr:from>
    <xdr:to>
      <xdr:col>2</xdr:col>
      <xdr:colOff>99006</xdr:colOff>
      <xdr:row>8</xdr:row>
      <xdr:rowOff>127000</xdr:rowOff>
    </xdr:to>
    <xdr:sp macro="" textlink="">
      <xdr:nvSpPr>
        <xdr:cNvPr id="128" name="OpenSolver37">
          <a:extLst>
            <a:ext uri="{FF2B5EF4-FFF2-40B4-BE49-F238E27FC236}">
              <a16:creationId xmlns:a16="http://schemas.microsoft.com/office/drawing/2014/main" id="{164DE933-89BA-5B6C-D0FD-F000DCB94FAB}"/>
            </a:ext>
          </a:extLst>
        </xdr:cNvPr>
        <xdr:cNvSpPr/>
      </xdr:nvSpPr>
      <xdr:spPr>
        <a:xfrm>
          <a:off x="43053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8</xdr:row>
      <xdr:rowOff>12700</xdr:rowOff>
    </xdr:from>
    <xdr:to>
      <xdr:col>3</xdr:col>
      <xdr:colOff>99006</xdr:colOff>
      <xdr:row>8</xdr:row>
      <xdr:rowOff>127000</xdr:rowOff>
    </xdr:to>
    <xdr:sp macro="" textlink="">
      <xdr:nvSpPr>
        <xdr:cNvPr id="129" name="OpenSolver38">
          <a:extLst>
            <a:ext uri="{FF2B5EF4-FFF2-40B4-BE49-F238E27FC236}">
              <a16:creationId xmlns:a16="http://schemas.microsoft.com/office/drawing/2014/main" id="{8F242F69-CF39-7A11-8FEB-993AF1B42E5F}"/>
            </a:ext>
          </a:extLst>
        </xdr:cNvPr>
        <xdr:cNvSpPr/>
      </xdr:nvSpPr>
      <xdr:spPr>
        <a:xfrm>
          <a:off x="52959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8</xdr:row>
      <xdr:rowOff>12700</xdr:rowOff>
    </xdr:from>
    <xdr:to>
      <xdr:col>4</xdr:col>
      <xdr:colOff>99006</xdr:colOff>
      <xdr:row>8</xdr:row>
      <xdr:rowOff>127000</xdr:rowOff>
    </xdr:to>
    <xdr:sp macro="" textlink="">
      <xdr:nvSpPr>
        <xdr:cNvPr id="130" name="OpenSolver39">
          <a:extLst>
            <a:ext uri="{FF2B5EF4-FFF2-40B4-BE49-F238E27FC236}">
              <a16:creationId xmlns:a16="http://schemas.microsoft.com/office/drawing/2014/main" id="{D9810FFB-088A-EC05-575C-E6F0662D2A55}"/>
            </a:ext>
          </a:extLst>
        </xdr:cNvPr>
        <xdr:cNvSpPr/>
      </xdr:nvSpPr>
      <xdr:spPr>
        <a:xfrm>
          <a:off x="62865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9</xdr:row>
      <xdr:rowOff>12700</xdr:rowOff>
    </xdr:from>
    <xdr:to>
      <xdr:col>2</xdr:col>
      <xdr:colOff>99006</xdr:colOff>
      <xdr:row>9</xdr:row>
      <xdr:rowOff>127000</xdr:rowOff>
    </xdr:to>
    <xdr:sp macro="" textlink="">
      <xdr:nvSpPr>
        <xdr:cNvPr id="131" name="OpenSolver40">
          <a:extLst>
            <a:ext uri="{FF2B5EF4-FFF2-40B4-BE49-F238E27FC236}">
              <a16:creationId xmlns:a16="http://schemas.microsoft.com/office/drawing/2014/main" id="{69A3FEEC-9C46-4ACE-5C84-0EEE3AC2463D}"/>
            </a:ext>
          </a:extLst>
        </xdr:cNvPr>
        <xdr:cNvSpPr/>
      </xdr:nvSpPr>
      <xdr:spPr>
        <a:xfrm>
          <a:off x="43053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9</xdr:row>
      <xdr:rowOff>12700</xdr:rowOff>
    </xdr:from>
    <xdr:to>
      <xdr:col>3</xdr:col>
      <xdr:colOff>99006</xdr:colOff>
      <xdr:row>9</xdr:row>
      <xdr:rowOff>127000</xdr:rowOff>
    </xdr:to>
    <xdr:sp macro="" textlink="">
      <xdr:nvSpPr>
        <xdr:cNvPr id="132" name="OpenSolver41">
          <a:extLst>
            <a:ext uri="{FF2B5EF4-FFF2-40B4-BE49-F238E27FC236}">
              <a16:creationId xmlns:a16="http://schemas.microsoft.com/office/drawing/2014/main" id="{E9C0FB9C-E1B2-6C8F-604C-3FD611CEE90E}"/>
            </a:ext>
          </a:extLst>
        </xdr:cNvPr>
        <xdr:cNvSpPr/>
      </xdr:nvSpPr>
      <xdr:spPr>
        <a:xfrm>
          <a:off x="52959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9</xdr:row>
      <xdr:rowOff>12700</xdr:rowOff>
    </xdr:from>
    <xdr:to>
      <xdr:col>4</xdr:col>
      <xdr:colOff>99006</xdr:colOff>
      <xdr:row>9</xdr:row>
      <xdr:rowOff>127000</xdr:rowOff>
    </xdr:to>
    <xdr:sp macro="" textlink="">
      <xdr:nvSpPr>
        <xdr:cNvPr id="133" name="OpenSolver42">
          <a:extLst>
            <a:ext uri="{FF2B5EF4-FFF2-40B4-BE49-F238E27FC236}">
              <a16:creationId xmlns:a16="http://schemas.microsoft.com/office/drawing/2014/main" id="{3AF7BF79-73EE-CB22-7C75-4899B10EBA2C}"/>
            </a:ext>
          </a:extLst>
        </xdr:cNvPr>
        <xdr:cNvSpPr/>
      </xdr:nvSpPr>
      <xdr:spPr>
        <a:xfrm>
          <a:off x="62865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10</xdr:row>
      <xdr:rowOff>12700</xdr:rowOff>
    </xdr:from>
    <xdr:to>
      <xdr:col>2</xdr:col>
      <xdr:colOff>99006</xdr:colOff>
      <xdr:row>10</xdr:row>
      <xdr:rowOff>127000</xdr:rowOff>
    </xdr:to>
    <xdr:sp macro="" textlink="">
      <xdr:nvSpPr>
        <xdr:cNvPr id="134" name="OpenSolver43">
          <a:extLst>
            <a:ext uri="{FF2B5EF4-FFF2-40B4-BE49-F238E27FC236}">
              <a16:creationId xmlns:a16="http://schemas.microsoft.com/office/drawing/2014/main" id="{1C61E827-5916-C629-B9DB-7E2DB1CA5594}"/>
            </a:ext>
          </a:extLst>
        </xdr:cNvPr>
        <xdr:cNvSpPr/>
      </xdr:nvSpPr>
      <xdr:spPr>
        <a:xfrm>
          <a:off x="43053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10</xdr:row>
      <xdr:rowOff>12700</xdr:rowOff>
    </xdr:from>
    <xdr:to>
      <xdr:col>3</xdr:col>
      <xdr:colOff>99006</xdr:colOff>
      <xdr:row>10</xdr:row>
      <xdr:rowOff>127000</xdr:rowOff>
    </xdr:to>
    <xdr:sp macro="" textlink="">
      <xdr:nvSpPr>
        <xdr:cNvPr id="135" name="OpenSolver44">
          <a:extLst>
            <a:ext uri="{FF2B5EF4-FFF2-40B4-BE49-F238E27FC236}">
              <a16:creationId xmlns:a16="http://schemas.microsoft.com/office/drawing/2014/main" id="{8D68B41E-D14F-FDB5-CF90-EAC3C7A01139}"/>
            </a:ext>
          </a:extLst>
        </xdr:cNvPr>
        <xdr:cNvSpPr/>
      </xdr:nvSpPr>
      <xdr:spPr>
        <a:xfrm>
          <a:off x="52959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10</xdr:row>
      <xdr:rowOff>12700</xdr:rowOff>
    </xdr:from>
    <xdr:to>
      <xdr:col>4</xdr:col>
      <xdr:colOff>99006</xdr:colOff>
      <xdr:row>10</xdr:row>
      <xdr:rowOff>127000</xdr:rowOff>
    </xdr:to>
    <xdr:sp macro="" textlink="">
      <xdr:nvSpPr>
        <xdr:cNvPr id="136" name="OpenSolver45">
          <a:extLst>
            <a:ext uri="{FF2B5EF4-FFF2-40B4-BE49-F238E27FC236}">
              <a16:creationId xmlns:a16="http://schemas.microsoft.com/office/drawing/2014/main" id="{497362E2-1994-3957-2436-150CBACA7C46}"/>
            </a:ext>
          </a:extLst>
        </xdr:cNvPr>
        <xdr:cNvSpPr/>
      </xdr:nvSpPr>
      <xdr:spPr>
        <a:xfrm>
          <a:off x="62865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99006</xdr:colOff>
      <xdr:row>11</xdr:row>
      <xdr:rowOff>127000</xdr:rowOff>
    </xdr:to>
    <xdr:sp macro="" textlink="">
      <xdr:nvSpPr>
        <xdr:cNvPr id="137" name="OpenSolver46">
          <a:extLst>
            <a:ext uri="{FF2B5EF4-FFF2-40B4-BE49-F238E27FC236}">
              <a16:creationId xmlns:a16="http://schemas.microsoft.com/office/drawing/2014/main" id="{15D39FED-9E62-7DAC-7E20-CD883317A982}"/>
            </a:ext>
          </a:extLst>
        </xdr:cNvPr>
        <xdr:cNvSpPr/>
      </xdr:nvSpPr>
      <xdr:spPr>
        <a:xfrm>
          <a:off x="43053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11</xdr:row>
      <xdr:rowOff>12700</xdr:rowOff>
    </xdr:from>
    <xdr:to>
      <xdr:col>3</xdr:col>
      <xdr:colOff>99006</xdr:colOff>
      <xdr:row>11</xdr:row>
      <xdr:rowOff>127000</xdr:rowOff>
    </xdr:to>
    <xdr:sp macro="" textlink="">
      <xdr:nvSpPr>
        <xdr:cNvPr id="138" name="OpenSolver47">
          <a:extLst>
            <a:ext uri="{FF2B5EF4-FFF2-40B4-BE49-F238E27FC236}">
              <a16:creationId xmlns:a16="http://schemas.microsoft.com/office/drawing/2014/main" id="{FB2E7CF9-A4A4-C432-4C92-E381167D78CA}"/>
            </a:ext>
          </a:extLst>
        </xdr:cNvPr>
        <xdr:cNvSpPr/>
      </xdr:nvSpPr>
      <xdr:spPr>
        <a:xfrm>
          <a:off x="52959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11</xdr:row>
      <xdr:rowOff>12700</xdr:rowOff>
    </xdr:from>
    <xdr:to>
      <xdr:col>4</xdr:col>
      <xdr:colOff>99006</xdr:colOff>
      <xdr:row>11</xdr:row>
      <xdr:rowOff>127000</xdr:rowOff>
    </xdr:to>
    <xdr:sp macro="" textlink="">
      <xdr:nvSpPr>
        <xdr:cNvPr id="139" name="OpenSolver48">
          <a:extLst>
            <a:ext uri="{FF2B5EF4-FFF2-40B4-BE49-F238E27FC236}">
              <a16:creationId xmlns:a16="http://schemas.microsoft.com/office/drawing/2014/main" id="{FFCD064C-F1F5-4106-5BF2-46AEE0983A9E}"/>
            </a:ext>
          </a:extLst>
        </xdr:cNvPr>
        <xdr:cNvSpPr/>
      </xdr:nvSpPr>
      <xdr:spPr>
        <a:xfrm>
          <a:off x="62865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12</xdr:row>
      <xdr:rowOff>12700</xdr:rowOff>
    </xdr:from>
    <xdr:to>
      <xdr:col>2</xdr:col>
      <xdr:colOff>99006</xdr:colOff>
      <xdr:row>12</xdr:row>
      <xdr:rowOff>127000</xdr:rowOff>
    </xdr:to>
    <xdr:sp macro="" textlink="">
      <xdr:nvSpPr>
        <xdr:cNvPr id="140" name="OpenSolver49">
          <a:extLst>
            <a:ext uri="{FF2B5EF4-FFF2-40B4-BE49-F238E27FC236}">
              <a16:creationId xmlns:a16="http://schemas.microsoft.com/office/drawing/2014/main" id="{81A8A1B3-72CD-AD36-B99B-A9C907AFC6FE}"/>
            </a:ext>
          </a:extLst>
        </xdr:cNvPr>
        <xdr:cNvSpPr/>
      </xdr:nvSpPr>
      <xdr:spPr>
        <a:xfrm>
          <a:off x="43053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12</xdr:row>
      <xdr:rowOff>12700</xdr:rowOff>
    </xdr:from>
    <xdr:to>
      <xdr:col>3</xdr:col>
      <xdr:colOff>99006</xdr:colOff>
      <xdr:row>12</xdr:row>
      <xdr:rowOff>127000</xdr:rowOff>
    </xdr:to>
    <xdr:sp macro="" textlink="">
      <xdr:nvSpPr>
        <xdr:cNvPr id="141" name="OpenSolver50">
          <a:extLst>
            <a:ext uri="{FF2B5EF4-FFF2-40B4-BE49-F238E27FC236}">
              <a16:creationId xmlns:a16="http://schemas.microsoft.com/office/drawing/2014/main" id="{0F9BFFF7-A1DA-3F78-FE4D-BF3248FDAA75}"/>
            </a:ext>
          </a:extLst>
        </xdr:cNvPr>
        <xdr:cNvSpPr/>
      </xdr:nvSpPr>
      <xdr:spPr>
        <a:xfrm>
          <a:off x="52959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12</xdr:row>
      <xdr:rowOff>12700</xdr:rowOff>
    </xdr:from>
    <xdr:to>
      <xdr:col>4</xdr:col>
      <xdr:colOff>99006</xdr:colOff>
      <xdr:row>12</xdr:row>
      <xdr:rowOff>127000</xdr:rowOff>
    </xdr:to>
    <xdr:sp macro="" textlink="">
      <xdr:nvSpPr>
        <xdr:cNvPr id="142" name="OpenSolver51">
          <a:extLst>
            <a:ext uri="{FF2B5EF4-FFF2-40B4-BE49-F238E27FC236}">
              <a16:creationId xmlns:a16="http://schemas.microsoft.com/office/drawing/2014/main" id="{02357107-376D-4EC9-F4C7-32889D5093FE}"/>
            </a:ext>
          </a:extLst>
        </xdr:cNvPr>
        <xdr:cNvSpPr/>
      </xdr:nvSpPr>
      <xdr:spPr>
        <a:xfrm>
          <a:off x="62865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13</xdr:row>
      <xdr:rowOff>12700</xdr:rowOff>
    </xdr:from>
    <xdr:to>
      <xdr:col>2</xdr:col>
      <xdr:colOff>99006</xdr:colOff>
      <xdr:row>13</xdr:row>
      <xdr:rowOff>127000</xdr:rowOff>
    </xdr:to>
    <xdr:sp macro="" textlink="">
      <xdr:nvSpPr>
        <xdr:cNvPr id="143" name="OpenSolver52">
          <a:extLst>
            <a:ext uri="{FF2B5EF4-FFF2-40B4-BE49-F238E27FC236}">
              <a16:creationId xmlns:a16="http://schemas.microsoft.com/office/drawing/2014/main" id="{33653812-28AA-CC2C-5196-6FFF0A816C8E}"/>
            </a:ext>
          </a:extLst>
        </xdr:cNvPr>
        <xdr:cNvSpPr/>
      </xdr:nvSpPr>
      <xdr:spPr>
        <a:xfrm>
          <a:off x="43053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13</xdr:row>
      <xdr:rowOff>12700</xdr:rowOff>
    </xdr:from>
    <xdr:to>
      <xdr:col>3</xdr:col>
      <xdr:colOff>99006</xdr:colOff>
      <xdr:row>13</xdr:row>
      <xdr:rowOff>127000</xdr:rowOff>
    </xdr:to>
    <xdr:sp macro="" textlink="">
      <xdr:nvSpPr>
        <xdr:cNvPr id="144" name="OpenSolver53">
          <a:extLst>
            <a:ext uri="{FF2B5EF4-FFF2-40B4-BE49-F238E27FC236}">
              <a16:creationId xmlns:a16="http://schemas.microsoft.com/office/drawing/2014/main" id="{33050F8D-6670-D25F-7712-63902528C7A6}"/>
            </a:ext>
          </a:extLst>
        </xdr:cNvPr>
        <xdr:cNvSpPr/>
      </xdr:nvSpPr>
      <xdr:spPr>
        <a:xfrm>
          <a:off x="52959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13</xdr:row>
      <xdr:rowOff>12700</xdr:rowOff>
    </xdr:from>
    <xdr:to>
      <xdr:col>4</xdr:col>
      <xdr:colOff>99006</xdr:colOff>
      <xdr:row>13</xdr:row>
      <xdr:rowOff>127000</xdr:rowOff>
    </xdr:to>
    <xdr:sp macro="" textlink="">
      <xdr:nvSpPr>
        <xdr:cNvPr id="145" name="OpenSolver54">
          <a:extLst>
            <a:ext uri="{FF2B5EF4-FFF2-40B4-BE49-F238E27FC236}">
              <a16:creationId xmlns:a16="http://schemas.microsoft.com/office/drawing/2014/main" id="{1041316F-468A-50BE-0623-2AE5E9835676}"/>
            </a:ext>
          </a:extLst>
        </xdr:cNvPr>
        <xdr:cNvSpPr/>
      </xdr:nvSpPr>
      <xdr:spPr>
        <a:xfrm>
          <a:off x="62865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99006</xdr:colOff>
      <xdr:row>14</xdr:row>
      <xdr:rowOff>127000</xdr:rowOff>
    </xdr:to>
    <xdr:sp macro="" textlink="">
      <xdr:nvSpPr>
        <xdr:cNvPr id="146" name="OpenSolver55">
          <a:extLst>
            <a:ext uri="{FF2B5EF4-FFF2-40B4-BE49-F238E27FC236}">
              <a16:creationId xmlns:a16="http://schemas.microsoft.com/office/drawing/2014/main" id="{F4AEE0B7-A505-C440-EA59-01CF81796DF5}"/>
            </a:ext>
          </a:extLst>
        </xdr:cNvPr>
        <xdr:cNvSpPr/>
      </xdr:nvSpPr>
      <xdr:spPr>
        <a:xfrm>
          <a:off x="43053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14</xdr:row>
      <xdr:rowOff>12700</xdr:rowOff>
    </xdr:from>
    <xdr:to>
      <xdr:col>3</xdr:col>
      <xdr:colOff>99006</xdr:colOff>
      <xdr:row>14</xdr:row>
      <xdr:rowOff>127000</xdr:rowOff>
    </xdr:to>
    <xdr:sp macro="" textlink="">
      <xdr:nvSpPr>
        <xdr:cNvPr id="147" name="OpenSolver56">
          <a:extLst>
            <a:ext uri="{FF2B5EF4-FFF2-40B4-BE49-F238E27FC236}">
              <a16:creationId xmlns:a16="http://schemas.microsoft.com/office/drawing/2014/main" id="{9617907C-5BE3-A126-00AE-896A45E6673C}"/>
            </a:ext>
          </a:extLst>
        </xdr:cNvPr>
        <xdr:cNvSpPr/>
      </xdr:nvSpPr>
      <xdr:spPr>
        <a:xfrm>
          <a:off x="52959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14</xdr:row>
      <xdr:rowOff>12700</xdr:rowOff>
    </xdr:from>
    <xdr:to>
      <xdr:col>4</xdr:col>
      <xdr:colOff>99006</xdr:colOff>
      <xdr:row>14</xdr:row>
      <xdr:rowOff>127000</xdr:rowOff>
    </xdr:to>
    <xdr:sp macro="" textlink="">
      <xdr:nvSpPr>
        <xdr:cNvPr id="148" name="OpenSolver57">
          <a:extLst>
            <a:ext uri="{FF2B5EF4-FFF2-40B4-BE49-F238E27FC236}">
              <a16:creationId xmlns:a16="http://schemas.microsoft.com/office/drawing/2014/main" id="{64032CD9-0A35-222F-7535-DDA056DF7442}"/>
            </a:ext>
          </a:extLst>
        </xdr:cNvPr>
        <xdr:cNvSpPr/>
      </xdr:nvSpPr>
      <xdr:spPr>
        <a:xfrm>
          <a:off x="62865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99006</xdr:colOff>
      <xdr:row>15</xdr:row>
      <xdr:rowOff>127000</xdr:rowOff>
    </xdr:to>
    <xdr:sp macro="" textlink="">
      <xdr:nvSpPr>
        <xdr:cNvPr id="149" name="OpenSolver58">
          <a:extLst>
            <a:ext uri="{FF2B5EF4-FFF2-40B4-BE49-F238E27FC236}">
              <a16:creationId xmlns:a16="http://schemas.microsoft.com/office/drawing/2014/main" id="{77EBFC6B-6754-35EA-2B26-A4A94B2BF59F}"/>
            </a:ext>
          </a:extLst>
        </xdr:cNvPr>
        <xdr:cNvSpPr/>
      </xdr:nvSpPr>
      <xdr:spPr>
        <a:xfrm>
          <a:off x="43053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15</xdr:row>
      <xdr:rowOff>12700</xdr:rowOff>
    </xdr:from>
    <xdr:to>
      <xdr:col>3</xdr:col>
      <xdr:colOff>99006</xdr:colOff>
      <xdr:row>15</xdr:row>
      <xdr:rowOff>127000</xdr:rowOff>
    </xdr:to>
    <xdr:sp macro="" textlink="">
      <xdr:nvSpPr>
        <xdr:cNvPr id="150" name="OpenSolver59">
          <a:extLst>
            <a:ext uri="{FF2B5EF4-FFF2-40B4-BE49-F238E27FC236}">
              <a16:creationId xmlns:a16="http://schemas.microsoft.com/office/drawing/2014/main" id="{0DC57552-DAFA-9AA8-9AC6-31219B7BFA1F}"/>
            </a:ext>
          </a:extLst>
        </xdr:cNvPr>
        <xdr:cNvSpPr/>
      </xdr:nvSpPr>
      <xdr:spPr>
        <a:xfrm>
          <a:off x="52959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15</xdr:row>
      <xdr:rowOff>12700</xdr:rowOff>
    </xdr:from>
    <xdr:to>
      <xdr:col>4</xdr:col>
      <xdr:colOff>99006</xdr:colOff>
      <xdr:row>15</xdr:row>
      <xdr:rowOff>127000</xdr:rowOff>
    </xdr:to>
    <xdr:sp macro="" textlink="">
      <xdr:nvSpPr>
        <xdr:cNvPr id="151" name="OpenSolver60">
          <a:extLst>
            <a:ext uri="{FF2B5EF4-FFF2-40B4-BE49-F238E27FC236}">
              <a16:creationId xmlns:a16="http://schemas.microsoft.com/office/drawing/2014/main" id="{F494B9E3-C5FB-099D-C5CE-AC29E9B74B90}"/>
            </a:ext>
          </a:extLst>
        </xdr:cNvPr>
        <xdr:cNvSpPr/>
      </xdr:nvSpPr>
      <xdr:spPr>
        <a:xfrm>
          <a:off x="62865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38</xdr:row>
      <xdr:rowOff>12700</xdr:rowOff>
    </xdr:from>
    <xdr:to>
      <xdr:col>1</xdr:col>
      <xdr:colOff>99006</xdr:colOff>
      <xdr:row>38</xdr:row>
      <xdr:rowOff>127000</xdr:rowOff>
    </xdr:to>
    <xdr:sp macro="" textlink="">
      <xdr:nvSpPr>
        <xdr:cNvPr id="152" name="OpenSolver61">
          <a:extLst>
            <a:ext uri="{FF2B5EF4-FFF2-40B4-BE49-F238E27FC236}">
              <a16:creationId xmlns:a16="http://schemas.microsoft.com/office/drawing/2014/main" id="{5A409ED2-72E0-A262-91B3-EF319099BE6D}"/>
            </a:ext>
          </a:extLst>
        </xdr:cNvPr>
        <xdr:cNvSpPr/>
      </xdr:nvSpPr>
      <xdr:spPr>
        <a:xfrm>
          <a:off x="3314700" y="6946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38</xdr:row>
      <xdr:rowOff>12700</xdr:rowOff>
    </xdr:from>
    <xdr:to>
      <xdr:col>2</xdr:col>
      <xdr:colOff>99006</xdr:colOff>
      <xdr:row>38</xdr:row>
      <xdr:rowOff>127000</xdr:rowOff>
    </xdr:to>
    <xdr:sp macro="" textlink="">
      <xdr:nvSpPr>
        <xdr:cNvPr id="153" name="OpenSolver62">
          <a:extLst>
            <a:ext uri="{FF2B5EF4-FFF2-40B4-BE49-F238E27FC236}">
              <a16:creationId xmlns:a16="http://schemas.microsoft.com/office/drawing/2014/main" id="{34A7976D-2A44-F858-3B3C-803C82425F1A}"/>
            </a:ext>
          </a:extLst>
        </xdr:cNvPr>
        <xdr:cNvSpPr/>
      </xdr:nvSpPr>
      <xdr:spPr>
        <a:xfrm>
          <a:off x="4305300" y="6946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38</xdr:row>
      <xdr:rowOff>12700</xdr:rowOff>
    </xdr:from>
    <xdr:to>
      <xdr:col>3</xdr:col>
      <xdr:colOff>99006</xdr:colOff>
      <xdr:row>38</xdr:row>
      <xdr:rowOff>127000</xdr:rowOff>
    </xdr:to>
    <xdr:sp macro="" textlink="">
      <xdr:nvSpPr>
        <xdr:cNvPr id="154" name="OpenSolver63">
          <a:extLst>
            <a:ext uri="{FF2B5EF4-FFF2-40B4-BE49-F238E27FC236}">
              <a16:creationId xmlns:a16="http://schemas.microsoft.com/office/drawing/2014/main" id="{0098DE24-34E3-70EF-E36D-E1F9ADBB5802}"/>
            </a:ext>
          </a:extLst>
        </xdr:cNvPr>
        <xdr:cNvSpPr/>
      </xdr:nvSpPr>
      <xdr:spPr>
        <a:xfrm>
          <a:off x="5295900" y="6946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39</xdr:row>
      <xdr:rowOff>12700</xdr:rowOff>
    </xdr:from>
    <xdr:to>
      <xdr:col>1</xdr:col>
      <xdr:colOff>99006</xdr:colOff>
      <xdr:row>39</xdr:row>
      <xdr:rowOff>127000</xdr:rowOff>
    </xdr:to>
    <xdr:sp macro="" textlink="">
      <xdr:nvSpPr>
        <xdr:cNvPr id="155" name="OpenSolver64">
          <a:extLst>
            <a:ext uri="{FF2B5EF4-FFF2-40B4-BE49-F238E27FC236}">
              <a16:creationId xmlns:a16="http://schemas.microsoft.com/office/drawing/2014/main" id="{3044DF3E-3A9D-2F4E-6E0D-71CA95C8AC1F}"/>
            </a:ext>
          </a:extLst>
        </xdr:cNvPr>
        <xdr:cNvSpPr/>
      </xdr:nvSpPr>
      <xdr:spPr>
        <a:xfrm>
          <a:off x="3314700" y="7124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39</xdr:row>
      <xdr:rowOff>12700</xdr:rowOff>
    </xdr:from>
    <xdr:to>
      <xdr:col>2</xdr:col>
      <xdr:colOff>99006</xdr:colOff>
      <xdr:row>39</xdr:row>
      <xdr:rowOff>127000</xdr:rowOff>
    </xdr:to>
    <xdr:sp macro="" textlink="">
      <xdr:nvSpPr>
        <xdr:cNvPr id="156" name="OpenSolver65">
          <a:extLst>
            <a:ext uri="{FF2B5EF4-FFF2-40B4-BE49-F238E27FC236}">
              <a16:creationId xmlns:a16="http://schemas.microsoft.com/office/drawing/2014/main" id="{FD75FE2B-7C34-FE0D-08F3-EFEE81D134BA}"/>
            </a:ext>
          </a:extLst>
        </xdr:cNvPr>
        <xdr:cNvSpPr/>
      </xdr:nvSpPr>
      <xdr:spPr>
        <a:xfrm>
          <a:off x="4305300" y="7124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39</xdr:row>
      <xdr:rowOff>12700</xdr:rowOff>
    </xdr:from>
    <xdr:to>
      <xdr:col>3</xdr:col>
      <xdr:colOff>99006</xdr:colOff>
      <xdr:row>39</xdr:row>
      <xdr:rowOff>127000</xdr:rowOff>
    </xdr:to>
    <xdr:sp macro="" textlink="">
      <xdr:nvSpPr>
        <xdr:cNvPr id="157" name="OpenSolver66">
          <a:extLst>
            <a:ext uri="{FF2B5EF4-FFF2-40B4-BE49-F238E27FC236}">
              <a16:creationId xmlns:a16="http://schemas.microsoft.com/office/drawing/2014/main" id="{B68F3007-FE4A-248E-9C9C-83C964867379}"/>
            </a:ext>
          </a:extLst>
        </xdr:cNvPr>
        <xdr:cNvSpPr/>
      </xdr:nvSpPr>
      <xdr:spPr>
        <a:xfrm>
          <a:off x="5295900" y="7124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40</xdr:row>
      <xdr:rowOff>12700</xdr:rowOff>
    </xdr:from>
    <xdr:to>
      <xdr:col>1</xdr:col>
      <xdr:colOff>99006</xdr:colOff>
      <xdr:row>40</xdr:row>
      <xdr:rowOff>127000</xdr:rowOff>
    </xdr:to>
    <xdr:sp macro="" textlink="">
      <xdr:nvSpPr>
        <xdr:cNvPr id="158" name="OpenSolver67">
          <a:extLst>
            <a:ext uri="{FF2B5EF4-FFF2-40B4-BE49-F238E27FC236}">
              <a16:creationId xmlns:a16="http://schemas.microsoft.com/office/drawing/2014/main" id="{BD1272CE-2708-25A2-3232-09C8BD279B9E}"/>
            </a:ext>
          </a:extLst>
        </xdr:cNvPr>
        <xdr:cNvSpPr/>
      </xdr:nvSpPr>
      <xdr:spPr>
        <a:xfrm>
          <a:off x="3314700" y="7302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40</xdr:row>
      <xdr:rowOff>12700</xdr:rowOff>
    </xdr:from>
    <xdr:to>
      <xdr:col>2</xdr:col>
      <xdr:colOff>99006</xdr:colOff>
      <xdr:row>40</xdr:row>
      <xdr:rowOff>127000</xdr:rowOff>
    </xdr:to>
    <xdr:sp macro="" textlink="">
      <xdr:nvSpPr>
        <xdr:cNvPr id="159" name="OpenSolver68">
          <a:extLst>
            <a:ext uri="{FF2B5EF4-FFF2-40B4-BE49-F238E27FC236}">
              <a16:creationId xmlns:a16="http://schemas.microsoft.com/office/drawing/2014/main" id="{1D1B1352-651B-0FF3-03F7-0179AEA96451}"/>
            </a:ext>
          </a:extLst>
        </xdr:cNvPr>
        <xdr:cNvSpPr/>
      </xdr:nvSpPr>
      <xdr:spPr>
        <a:xfrm>
          <a:off x="4305300" y="7302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40</xdr:row>
      <xdr:rowOff>12700</xdr:rowOff>
    </xdr:from>
    <xdr:to>
      <xdr:col>3</xdr:col>
      <xdr:colOff>99006</xdr:colOff>
      <xdr:row>40</xdr:row>
      <xdr:rowOff>127000</xdr:rowOff>
    </xdr:to>
    <xdr:sp macro="" textlink="">
      <xdr:nvSpPr>
        <xdr:cNvPr id="160" name="OpenSolver69">
          <a:extLst>
            <a:ext uri="{FF2B5EF4-FFF2-40B4-BE49-F238E27FC236}">
              <a16:creationId xmlns:a16="http://schemas.microsoft.com/office/drawing/2014/main" id="{277BA1C1-697B-DFEE-238F-179861C716C3}"/>
            </a:ext>
          </a:extLst>
        </xdr:cNvPr>
        <xdr:cNvSpPr/>
      </xdr:nvSpPr>
      <xdr:spPr>
        <a:xfrm>
          <a:off x="5295900" y="7302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41</xdr:row>
      <xdr:rowOff>12700</xdr:rowOff>
    </xdr:from>
    <xdr:to>
      <xdr:col>1</xdr:col>
      <xdr:colOff>99006</xdr:colOff>
      <xdr:row>41</xdr:row>
      <xdr:rowOff>127000</xdr:rowOff>
    </xdr:to>
    <xdr:sp macro="" textlink="">
      <xdr:nvSpPr>
        <xdr:cNvPr id="161" name="OpenSolver70">
          <a:extLst>
            <a:ext uri="{FF2B5EF4-FFF2-40B4-BE49-F238E27FC236}">
              <a16:creationId xmlns:a16="http://schemas.microsoft.com/office/drawing/2014/main" id="{F9C88467-FD1B-BCE0-5CAE-E07C89736BAE}"/>
            </a:ext>
          </a:extLst>
        </xdr:cNvPr>
        <xdr:cNvSpPr/>
      </xdr:nvSpPr>
      <xdr:spPr>
        <a:xfrm>
          <a:off x="3314700" y="7480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41</xdr:row>
      <xdr:rowOff>12700</xdr:rowOff>
    </xdr:from>
    <xdr:to>
      <xdr:col>2</xdr:col>
      <xdr:colOff>99006</xdr:colOff>
      <xdr:row>41</xdr:row>
      <xdr:rowOff>127000</xdr:rowOff>
    </xdr:to>
    <xdr:sp macro="" textlink="">
      <xdr:nvSpPr>
        <xdr:cNvPr id="162" name="OpenSolver71">
          <a:extLst>
            <a:ext uri="{FF2B5EF4-FFF2-40B4-BE49-F238E27FC236}">
              <a16:creationId xmlns:a16="http://schemas.microsoft.com/office/drawing/2014/main" id="{3B094243-264F-B798-2E64-F6C9566B8050}"/>
            </a:ext>
          </a:extLst>
        </xdr:cNvPr>
        <xdr:cNvSpPr/>
      </xdr:nvSpPr>
      <xdr:spPr>
        <a:xfrm>
          <a:off x="4305300" y="7480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41</xdr:row>
      <xdr:rowOff>12700</xdr:rowOff>
    </xdr:from>
    <xdr:to>
      <xdr:col>3</xdr:col>
      <xdr:colOff>99006</xdr:colOff>
      <xdr:row>41</xdr:row>
      <xdr:rowOff>127000</xdr:rowOff>
    </xdr:to>
    <xdr:sp macro="" textlink="">
      <xdr:nvSpPr>
        <xdr:cNvPr id="163" name="OpenSolver72">
          <a:extLst>
            <a:ext uri="{FF2B5EF4-FFF2-40B4-BE49-F238E27FC236}">
              <a16:creationId xmlns:a16="http://schemas.microsoft.com/office/drawing/2014/main" id="{B520C3F8-7E9C-BF90-98D8-455D3BC4D8D3}"/>
            </a:ext>
          </a:extLst>
        </xdr:cNvPr>
        <xdr:cNvSpPr/>
      </xdr:nvSpPr>
      <xdr:spPr>
        <a:xfrm>
          <a:off x="5295900" y="7480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42</xdr:row>
      <xdr:rowOff>12700</xdr:rowOff>
    </xdr:from>
    <xdr:to>
      <xdr:col>1</xdr:col>
      <xdr:colOff>99006</xdr:colOff>
      <xdr:row>42</xdr:row>
      <xdr:rowOff>127000</xdr:rowOff>
    </xdr:to>
    <xdr:sp macro="" textlink="">
      <xdr:nvSpPr>
        <xdr:cNvPr id="164" name="OpenSolver73">
          <a:extLst>
            <a:ext uri="{FF2B5EF4-FFF2-40B4-BE49-F238E27FC236}">
              <a16:creationId xmlns:a16="http://schemas.microsoft.com/office/drawing/2014/main" id="{9135EAE6-759D-31EC-E5EF-A2F57558CAE0}"/>
            </a:ext>
          </a:extLst>
        </xdr:cNvPr>
        <xdr:cNvSpPr/>
      </xdr:nvSpPr>
      <xdr:spPr>
        <a:xfrm>
          <a:off x="3314700" y="7658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42</xdr:row>
      <xdr:rowOff>12700</xdr:rowOff>
    </xdr:from>
    <xdr:to>
      <xdr:col>2</xdr:col>
      <xdr:colOff>99006</xdr:colOff>
      <xdr:row>42</xdr:row>
      <xdr:rowOff>127000</xdr:rowOff>
    </xdr:to>
    <xdr:sp macro="" textlink="">
      <xdr:nvSpPr>
        <xdr:cNvPr id="165" name="OpenSolver74">
          <a:extLst>
            <a:ext uri="{FF2B5EF4-FFF2-40B4-BE49-F238E27FC236}">
              <a16:creationId xmlns:a16="http://schemas.microsoft.com/office/drawing/2014/main" id="{66860F2D-75F5-51AA-181C-C09BBA15D4C5}"/>
            </a:ext>
          </a:extLst>
        </xdr:cNvPr>
        <xdr:cNvSpPr/>
      </xdr:nvSpPr>
      <xdr:spPr>
        <a:xfrm>
          <a:off x="4305300" y="7658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42</xdr:row>
      <xdr:rowOff>12700</xdr:rowOff>
    </xdr:from>
    <xdr:to>
      <xdr:col>3</xdr:col>
      <xdr:colOff>99006</xdr:colOff>
      <xdr:row>42</xdr:row>
      <xdr:rowOff>127000</xdr:rowOff>
    </xdr:to>
    <xdr:sp macro="" textlink="">
      <xdr:nvSpPr>
        <xdr:cNvPr id="166" name="OpenSolver75">
          <a:extLst>
            <a:ext uri="{FF2B5EF4-FFF2-40B4-BE49-F238E27FC236}">
              <a16:creationId xmlns:a16="http://schemas.microsoft.com/office/drawing/2014/main" id="{C1B6E4C4-B86D-65C4-95F0-700E2D97D6CF}"/>
            </a:ext>
          </a:extLst>
        </xdr:cNvPr>
        <xdr:cNvSpPr/>
      </xdr:nvSpPr>
      <xdr:spPr>
        <a:xfrm>
          <a:off x="5295900" y="7658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43</xdr:row>
      <xdr:rowOff>12700</xdr:rowOff>
    </xdr:from>
    <xdr:to>
      <xdr:col>2</xdr:col>
      <xdr:colOff>99006</xdr:colOff>
      <xdr:row>43</xdr:row>
      <xdr:rowOff>127000</xdr:rowOff>
    </xdr:to>
    <xdr:sp macro="" textlink="">
      <xdr:nvSpPr>
        <xdr:cNvPr id="168" name="OpenSolver77">
          <a:extLst>
            <a:ext uri="{FF2B5EF4-FFF2-40B4-BE49-F238E27FC236}">
              <a16:creationId xmlns:a16="http://schemas.microsoft.com/office/drawing/2014/main" id="{E28580FC-4A93-3CFA-50ED-09CCA4E351D2}"/>
            </a:ext>
          </a:extLst>
        </xdr:cNvPr>
        <xdr:cNvSpPr/>
      </xdr:nvSpPr>
      <xdr:spPr>
        <a:xfrm>
          <a:off x="4305300" y="7835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43</xdr:row>
      <xdr:rowOff>12700</xdr:rowOff>
    </xdr:from>
    <xdr:to>
      <xdr:col>3</xdr:col>
      <xdr:colOff>99006</xdr:colOff>
      <xdr:row>43</xdr:row>
      <xdr:rowOff>127000</xdr:rowOff>
    </xdr:to>
    <xdr:sp macro="" textlink="">
      <xdr:nvSpPr>
        <xdr:cNvPr id="169" name="OpenSolver78">
          <a:extLst>
            <a:ext uri="{FF2B5EF4-FFF2-40B4-BE49-F238E27FC236}">
              <a16:creationId xmlns:a16="http://schemas.microsoft.com/office/drawing/2014/main" id="{5B62AF57-2DE6-E6BA-2FC0-A2121194262A}"/>
            </a:ext>
          </a:extLst>
        </xdr:cNvPr>
        <xdr:cNvSpPr/>
      </xdr:nvSpPr>
      <xdr:spPr>
        <a:xfrm>
          <a:off x="5295900" y="7835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44</xdr:row>
      <xdr:rowOff>12700</xdr:rowOff>
    </xdr:from>
    <xdr:to>
      <xdr:col>1</xdr:col>
      <xdr:colOff>99006</xdr:colOff>
      <xdr:row>44</xdr:row>
      <xdr:rowOff>127000</xdr:rowOff>
    </xdr:to>
    <xdr:sp macro="" textlink="">
      <xdr:nvSpPr>
        <xdr:cNvPr id="170" name="OpenSolver79">
          <a:extLst>
            <a:ext uri="{FF2B5EF4-FFF2-40B4-BE49-F238E27FC236}">
              <a16:creationId xmlns:a16="http://schemas.microsoft.com/office/drawing/2014/main" id="{440A28DA-207E-1470-70A9-D94E641DA225}"/>
            </a:ext>
          </a:extLst>
        </xdr:cNvPr>
        <xdr:cNvSpPr/>
      </xdr:nvSpPr>
      <xdr:spPr>
        <a:xfrm>
          <a:off x="3314700" y="8013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44</xdr:row>
      <xdr:rowOff>12700</xdr:rowOff>
    </xdr:from>
    <xdr:to>
      <xdr:col>2</xdr:col>
      <xdr:colOff>99006</xdr:colOff>
      <xdr:row>44</xdr:row>
      <xdr:rowOff>127000</xdr:rowOff>
    </xdr:to>
    <xdr:sp macro="" textlink="">
      <xdr:nvSpPr>
        <xdr:cNvPr id="171" name="OpenSolver80">
          <a:extLst>
            <a:ext uri="{FF2B5EF4-FFF2-40B4-BE49-F238E27FC236}">
              <a16:creationId xmlns:a16="http://schemas.microsoft.com/office/drawing/2014/main" id="{69DA1B9F-1ACF-4DCC-9EA7-DC8537F4F48C}"/>
            </a:ext>
          </a:extLst>
        </xdr:cNvPr>
        <xdr:cNvSpPr/>
      </xdr:nvSpPr>
      <xdr:spPr>
        <a:xfrm>
          <a:off x="4305300" y="8013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44</xdr:row>
      <xdr:rowOff>12700</xdr:rowOff>
    </xdr:from>
    <xdr:to>
      <xdr:col>3</xdr:col>
      <xdr:colOff>99006</xdr:colOff>
      <xdr:row>44</xdr:row>
      <xdr:rowOff>127000</xdr:rowOff>
    </xdr:to>
    <xdr:sp macro="" textlink="">
      <xdr:nvSpPr>
        <xdr:cNvPr id="172" name="OpenSolver81">
          <a:extLst>
            <a:ext uri="{FF2B5EF4-FFF2-40B4-BE49-F238E27FC236}">
              <a16:creationId xmlns:a16="http://schemas.microsoft.com/office/drawing/2014/main" id="{F303EB85-8769-EE74-CC00-D265E0B1888B}"/>
            </a:ext>
          </a:extLst>
        </xdr:cNvPr>
        <xdr:cNvSpPr/>
      </xdr:nvSpPr>
      <xdr:spPr>
        <a:xfrm>
          <a:off x="5295900" y="8013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45</xdr:row>
      <xdr:rowOff>12700</xdr:rowOff>
    </xdr:from>
    <xdr:to>
      <xdr:col>1</xdr:col>
      <xdr:colOff>99006</xdr:colOff>
      <xdr:row>45</xdr:row>
      <xdr:rowOff>127000</xdr:rowOff>
    </xdr:to>
    <xdr:sp macro="" textlink="">
      <xdr:nvSpPr>
        <xdr:cNvPr id="173" name="OpenSolver82">
          <a:extLst>
            <a:ext uri="{FF2B5EF4-FFF2-40B4-BE49-F238E27FC236}">
              <a16:creationId xmlns:a16="http://schemas.microsoft.com/office/drawing/2014/main" id="{7C432FFE-8242-3E85-9DF9-7B6CAB6D730F}"/>
            </a:ext>
          </a:extLst>
        </xdr:cNvPr>
        <xdr:cNvSpPr/>
      </xdr:nvSpPr>
      <xdr:spPr>
        <a:xfrm>
          <a:off x="3314700" y="8191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45</xdr:row>
      <xdr:rowOff>12700</xdr:rowOff>
    </xdr:from>
    <xdr:to>
      <xdr:col>2</xdr:col>
      <xdr:colOff>99006</xdr:colOff>
      <xdr:row>45</xdr:row>
      <xdr:rowOff>127000</xdr:rowOff>
    </xdr:to>
    <xdr:sp macro="" textlink="">
      <xdr:nvSpPr>
        <xdr:cNvPr id="174" name="OpenSolver83">
          <a:extLst>
            <a:ext uri="{FF2B5EF4-FFF2-40B4-BE49-F238E27FC236}">
              <a16:creationId xmlns:a16="http://schemas.microsoft.com/office/drawing/2014/main" id="{5F790967-E7FB-C13A-3AE5-026374AE3733}"/>
            </a:ext>
          </a:extLst>
        </xdr:cNvPr>
        <xdr:cNvSpPr/>
      </xdr:nvSpPr>
      <xdr:spPr>
        <a:xfrm>
          <a:off x="4305300" y="8191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45</xdr:row>
      <xdr:rowOff>12700</xdr:rowOff>
    </xdr:from>
    <xdr:to>
      <xdr:col>3</xdr:col>
      <xdr:colOff>99006</xdr:colOff>
      <xdr:row>45</xdr:row>
      <xdr:rowOff>127000</xdr:rowOff>
    </xdr:to>
    <xdr:sp macro="" textlink="">
      <xdr:nvSpPr>
        <xdr:cNvPr id="175" name="OpenSolver84">
          <a:extLst>
            <a:ext uri="{FF2B5EF4-FFF2-40B4-BE49-F238E27FC236}">
              <a16:creationId xmlns:a16="http://schemas.microsoft.com/office/drawing/2014/main" id="{E4CA2E0B-D41A-593B-66CB-368F020A1038}"/>
            </a:ext>
          </a:extLst>
        </xdr:cNvPr>
        <xdr:cNvSpPr/>
      </xdr:nvSpPr>
      <xdr:spPr>
        <a:xfrm>
          <a:off x="5295900" y="8191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46</xdr:row>
      <xdr:rowOff>12700</xdr:rowOff>
    </xdr:from>
    <xdr:to>
      <xdr:col>1</xdr:col>
      <xdr:colOff>99006</xdr:colOff>
      <xdr:row>46</xdr:row>
      <xdr:rowOff>127000</xdr:rowOff>
    </xdr:to>
    <xdr:sp macro="" textlink="">
      <xdr:nvSpPr>
        <xdr:cNvPr id="176" name="OpenSolver85">
          <a:extLst>
            <a:ext uri="{FF2B5EF4-FFF2-40B4-BE49-F238E27FC236}">
              <a16:creationId xmlns:a16="http://schemas.microsoft.com/office/drawing/2014/main" id="{5D60DF09-D731-4A79-820C-8036D891298C}"/>
            </a:ext>
          </a:extLst>
        </xdr:cNvPr>
        <xdr:cNvSpPr/>
      </xdr:nvSpPr>
      <xdr:spPr>
        <a:xfrm>
          <a:off x="3314700" y="8369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46</xdr:row>
      <xdr:rowOff>12700</xdr:rowOff>
    </xdr:from>
    <xdr:to>
      <xdr:col>2</xdr:col>
      <xdr:colOff>99006</xdr:colOff>
      <xdr:row>46</xdr:row>
      <xdr:rowOff>127000</xdr:rowOff>
    </xdr:to>
    <xdr:sp macro="" textlink="">
      <xdr:nvSpPr>
        <xdr:cNvPr id="177" name="OpenSolver86">
          <a:extLst>
            <a:ext uri="{FF2B5EF4-FFF2-40B4-BE49-F238E27FC236}">
              <a16:creationId xmlns:a16="http://schemas.microsoft.com/office/drawing/2014/main" id="{4724156B-23D5-6912-38C4-C2D7B9E6C9FC}"/>
            </a:ext>
          </a:extLst>
        </xdr:cNvPr>
        <xdr:cNvSpPr/>
      </xdr:nvSpPr>
      <xdr:spPr>
        <a:xfrm>
          <a:off x="4305300" y="8369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46</xdr:row>
      <xdr:rowOff>12700</xdr:rowOff>
    </xdr:from>
    <xdr:to>
      <xdr:col>3</xdr:col>
      <xdr:colOff>99006</xdr:colOff>
      <xdr:row>46</xdr:row>
      <xdr:rowOff>127000</xdr:rowOff>
    </xdr:to>
    <xdr:sp macro="" textlink="">
      <xdr:nvSpPr>
        <xdr:cNvPr id="178" name="OpenSolver87">
          <a:extLst>
            <a:ext uri="{FF2B5EF4-FFF2-40B4-BE49-F238E27FC236}">
              <a16:creationId xmlns:a16="http://schemas.microsoft.com/office/drawing/2014/main" id="{6CD11428-EAC2-5EDD-C032-0F3A91B148D5}"/>
            </a:ext>
          </a:extLst>
        </xdr:cNvPr>
        <xdr:cNvSpPr/>
      </xdr:nvSpPr>
      <xdr:spPr>
        <a:xfrm>
          <a:off x="5295900" y="8369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12700</xdr:colOff>
      <xdr:row>47</xdr:row>
      <xdr:rowOff>12700</xdr:rowOff>
    </xdr:from>
    <xdr:to>
      <xdr:col>1</xdr:col>
      <xdr:colOff>99006</xdr:colOff>
      <xdr:row>47</xdr:row>
      <xdr:rowOff>127000</xdr:rowOff>
    </xdr:to>
    <xdr:sp macro="" textlink="">
      <xdr:nvSpPr>
        <xdr:cNvPr id="179" name="OpenSolver88">
          <a:extLst>
            <a:ext uri="{FF2B5EF4-FFF2-40B4-BE49-F238E27FC236}">
              <a16:creationId xmlns:a16="http://schemas.microsoft.com/office/drawing/2014/main" id="{3530D60D-669E-A284-A01E-C6B6CE8E87F6}"/>
            </a:ext>
          </a:extLst>
        </xdr:cNvPr>
        <xdr:cNvSpPr/>
      </xdr:nvSpPr>
      <xdr:spPr>
        <a:xfrm>
          <a:off x="3314700" y="8547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47</xdr:row>
      <xdr:rowOff>12700</xdr:rowOff>
    </xdr:from>
    <xdr:to>
      <xdr:col>2</xdr:col>
      <xdr:colOff>99006</xdr:colOff>
      <xdr:row>47</xdr:row>
      <xdr:rowOff>127000</xdr:rowOff>
    </xdr:to>
    <xdr:sp macro="" textlink="">
      <xdr:nvSpPr>
        <xdr:cNvPr id="180" name="OpenSolver89">
          <a:extLst>
            <a:ext uri="{FF2B5EF4-FFF2-40B4-BE49-F238E27FC236}">
              <a16:creationId xmlns:a16="http://schemas.microsoft.com/office/drawing/2014/main" id="{6AE8CC22-8DC2-606F-5EFB-E316B3760864}"/>
            </a:ext>
          </a:extLst>
        </xdr:cNvPr>
        <xdr:cNvSpPr/>
      </xdr:nvSpPr>
      <xdr:spPr>
        <a:xfrm>
          <a:off x="4305300" y="8547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47</xdr:row>
      <xdr:rowOff>12700</xdr:rowOff>
    </xdr:from>
    <xdr:to>
      <xdr:col>3</xdr:col>
      <xdr:colOff>99006</xdr:colOff>
      <xdr:row>47</xdr:row>
      <xdr:rowOff>127000</xdr:rowOff>
    </xdr:to>
    <xdr:sp macro="" textlink="">
      <xdr:nvSpPr>
        <xdr:cNvPr id="181" name="OpenSolver90">
          <a:extLst>
            <a:ext uri="{FF2B5EF4-FFF2-40B4-BE49-F238E27FC236}">
              <a16:creationId xmlns:a16="http://schemas.microsoft.com/office/drawing/2014/main" id="{42D87A4D-0D6D-D7F1-1930-515F8D2B5537}"/>
            </a:ext>
          </a:extLst>
        </xdr:cNvPr>
        <xdr:cNvSpPr/>
      </xdr:nvSpPr>
      <xdr:spPr>
        <a:xfrm>
          <a:off x="5295900" y="8547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16933</xdr:colOff>
      <xdr:row>6</xdr:row>
      <xdr:rowOff>0</xdr:rowOff>
    </xdr:from>
    <xdr:to>
      <xdr:col>16</xdr:col>
      <xdr:colOff>16934</xdr:colOff>
      <xdr:row>16</xdr:row>
      <xdr:rowOff>0</xdr:rowOff>
    </xdr:to>
    <xdr:sp macro="" textlink="">
      <xdr:nvSpPr>
        <xdr:cNvPr id="59" name="OpenSolver1">
          <a:extLst>
            <a:ext uri="{FF2B5EF4-FFF2-40B4-BE49-F238E27FC236}">
              <a16:creationId xmlns:a16="http://schemas.microsoft.com/office/drawing/2014/main" id="{83DEC8FA-C0F3-D56F-18EE-D5D8A6EB58A7}"/>
            </a:ext>
          </a:extLst>
        </xdr:cNvPr>
        <xdr:cNvSpPr/>
      </xdr:nvSpPr>
      <xdr:spPr>
        <a:xfrm>
          <a:off x="13580533" y="1270000"/>
          <a:ext cx="4233334" cy="1862667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63" name="OpenSolver5">
          <a:extLst>
            <a:ext uri="{FF2B5EF4-FFF2-40B4-BE49-F238E27FC236}">
              <a16:creationId xmlns:a16="http://schemas.microsoft.com/office/drawing/2014/main" id="{8A16B4E0-0FCF-6604-9158-BC21AD877F9F}"/>
            </a:ext>
          </a:extLst>
        </xdr:cNvPr>
        <xdr:cNvSpPr/>
      </xdr:nvSpPr>
      <xdr:spPr>
        <a:xfrm>
          <a:off x="6273800" y="22072600"/>
          <a:ext cx="1562100" cy="1778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</xdr:col>
      <xdr:colOff>977900</xdr:colOff>
      <xdr:row>122</xdr:row>
      <xdr:rowOff>101600</xdr:rowOff>
    </xdr:from>
    <xdr:to>
      <xdr:col>4</xdr:col>
      <xdr:colOff>218389</xdr:colOff>
      <xdr:row>123</xdr:row>
      <xdr:rowOff>50800</xdr:rowOff>
    </xdr:to>
    <xdr:sp macro="" textlink="">
      <xdr:nvSpPr>
        <xdr:cNvPr id="64" name="OpenSolver6">
          <a:extLst>
            <a:ext uri="{FF2B5EF4-FFF2-40B4-BE49-F238E27FC236}">
              <a16:creationId xmlns:a16="http://schemas.microsoft.com/office/drawing/2014/main" id="{CD1BC9C7-3E50-27F0-0395-4A2A310CA4CD}"/>
            </a:ext>
          </a:extLst>
        </xdr:cNvPr>
        <xdr:cNvSpPr/>
      </xdr:nvSpPr>
      <xdr:spPr>
        <a:xfrm>
          <a:off x="6261100" y="21996400"/>
          <a:ext cx="231089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4</xdr:col>
      <xdr:colOff>0</xdr:colOff>
      <xdr:row>66</xdr:row>
      <xdr:rowOff>0</xdr:rowOff>
    </xdr:to>
    <xdr:sp macro="" textlink="">
      <xdr:nvSpPr>
        <xdr:cNvPr id="65" name="OpenSolver7">
          <a:extLst>
            <a:ext uri="{FF2B5EF4-FFF2-40B4-BE49-F238E27FC236}">
              <a16:creationId xmlns:a16="http://schemas.microsoft.com/office/drawing/2014/main" id="{A93AD251-1DA4-2988-25E9-45CFD2A7C9BA}"/>
            </a:ext>
          </a:extLst>
        </xdr:cNvPr>
        <xdr:cNvSpPr/>
      </xdr:nvSpPr>
      <xdr:spPr>
        <a:xfrm>
          <a:off x="3302000" y="10858500"/>
          <a:ext cx="2971800" cy="1066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1443180</xdr:colOff>
      <xdr:row>60</xdr:row>
      <xdr:rowOff>0</xdr:rowOff>
    </xdr:from>
    <xdr:to>
      <xdr:col>6</xdr:col>
      <xdr:colOff>992908</xdr:colOff>
      <xdr:row>66</xdr:row>
      <xdr:rowOff>0</xdr:rowOff>
    </xdr:to>
    <xdr:sp macro="" textlink="">
      <xdr:nvSpPr>
        <xdr:cNvPr id="66" name="OpenSolver8">
          <a:extLst>
            <a:ext uri="{FF2B5EF4-FFF2-40B4-BE49-F238E27FC236}">
              <a16:creationId xmlns:a16="http://schemas.microsoft.com/office/drawing/2014/main" id="{376180BB-1923-AFED-15AB-402C9F8772FD}"/>
            </a:ext>
          </a:extLst>
        </xdr:cNvPr>
        <xdr:cNvSpPr/>
      </xdr:nvSpPr>
      <xdr:spPr>
        <a:xfrm>
          <a:off x="7146635" y="10610273"/>
          <a:ext cx="3544455" cy="103909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00FF"/>
              </a:solidFill>
            </a:rPr>
            <a:t>=</a:t>
          </a:r>
        </a:p>
      </xdr:txBody>
    </xdr:sp>
    <xdr:clientData/>
  </xdr:twoCellAnchor>
  <xdr:twoCellAnchor>
    <xdr:from>
      <xdr:col>3</xdr:col>
      <xdr:colOff>1443180</xdr:colOff>
      <xdr:row>63</xdr:row>
      <xdr:rowOff>1</xdr:rowOff>
    </xdr:from>
    <xdr:to>
      <xdr:col>4</xdr:col>
      <xdr:colOff>0</xdr:colOff>
      <xdr:row>63</xdr:row>
      <xdr:rowOff>1</xdr:rowOff>
    </xdr:to>
    <xdr:cxnSp macro="">
      <xdr:nvCxnSpPr>
        <xdr:cNvPr id="67" name="OpenSolver9">
          <a:extLst>
            <a:ext uri="{FF2B5EF4-FFF2-40B4-BE49-F238E27FC236}">
              <a16:creationId xmlns:a16="http://schemas.microsoft.com/office/drawing/2014/main" id="{D1EAB29C-3787-DCDF-9E7D-A4D228BA0FE0}"/>
            </a:ext>
          </a:extLst>
        </xdr:cNvPr>
        <xdr:cNvCxnSpPr>
          <a:stCxn id="65" idx="3"/>
          <a:endCxn id="66" idx="1"/>
        </xdr:cNvCxnSpPr>
      </xdr:nvCxnSpPr>
      <xdr:spPr>
        <a:xfrm flipH="1">
          <a:off x="7146635" y="11129819"/>
          <a:ext cx="1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62</xdr:row>
      <xdr:rowOff>50800</xdr:rowOff>
    </xdr:from>
    <xdr:to>
      <xdr:col>4</xdr:col>
      <xdr:colOff>190500</xdr:colOff>
      <xdr:row>63</xdr:row>
      <xdr:rowOff>127000</xdr:rowOff>
    </xdr:to>
    <xdr:sp macro="" textlink="">
      <xdr:nvSpPr>
        <xdr:cNvPr id="68" name="OpenSolver10">
          <a:extLst>
            <a:ext uri="{FF2B5EF4-FFF2-40B4-BE49-F238E27FC236}">
              <a16:creationId xmlns:a16="http://schemas.microsoft.com/office/drawing/2014/main" id="{6A58A847-C129-E5EE-E670-A5016D8B5129}"/>
            </a:ext>
          </a:extLst>
        </xdr:cNvPr>
        <xdr:cNvSpPr/>
      </xdr:nvSpPr>
      <xdr:spPr>
        <a:xfrm>
          <a:off x="6083300" y="112649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4</xdr:col>
      <xdr:colOff>0</xdr:colOff>
      <xdr:row>74</xdr:row>
      <xdr:rowOff>0</xdr:rowOff>
    </xdr:to>
    <xdr:sp macro="" textlink="">
      <xdr:nvSpPr>
        <xdr:cNvPr id="69" name="OpenSolver11">
          <a:extLst>
            <a:ext uri="{FF2B5EF4-FFF2-40B4-BE49-F238E27FC236}">
              <a16:creationId xmlns:a16="http://schemas.microsoft.com/office/drawing/2014/main" id="{C3FD63B6-4627-37E7-33E2-F034128ACC9F}"/>
            </a:ext>
          </a:extLst>
        </xdr:cNvPr>
        <xdr:cNvSpPr/>
      </xdr:nvSpPr>
      <xdr:spPr>
        <a:xfrm>
          <a:off x="3302000" y="12458700"/>
          <a:ext cx="2971800" cy="889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7</xdr:col>
      <xdr:colOff>0</xdr:colOff>
      <xdr:row>74</xdr:row>
      <xdr:rowOff>0</xdr:rowOff>
    </xdr:to>
    <xdr:sp macro="" textlink="">
      <xdr:nvSpPr>
        <xdr:cNvPr id="70" name="OpenSolver12">
          <a:extLst>
            <a:ext uri="{FF2B5EF4-FFF2-40B4-BE49-F238E27FC236}">
              <a16:creationId xmlns:a16="http://schemas.microsoft.com/office/drawing/2014/main" id="{7C5A3CF8-B494-9610-954A-02FE184EEDAF}"/>
            </a:ext>
          </a:extLst>
        </xdr:cNvPr>
        <xdr:cNvSpPr/>
      </xdr:nvSpPr>
      <xdr:spPr>
        <a:xfrm>
          <a:off x="6273800" y="12458700"/>
          <a:ext cx="3543300" cy="889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4</xdr:col>
      <xdr:colOff>0</xdr:colOff>
      <xdr:row>71</xdr:row>
      <xdr:rowOff>88900</xdr:rowOff>
    </xdr:from>
    <xdr:to>
      <xdr:col>4</xdr:col>
      <xdr:colOff>0</xdr:colOff>
      <xdr:row>71</xdr:row>
      <xdr:rowOff>88900</xdr:rowOff>
    </xdr:to>
    <xdr:cxnSp macro="">
      <xdr:nvCxnSpPr>
        <xdr:cNvPr id="71" name="OpenSolver13">
          <a:extLst>
            <a:ext uri="{FF2B5EF4-FFF2-40B4-BE49-F238E27FC236}">
              <a16:creationId xmlns:a16="http://schemas.microsoft.com/office/drawing/2014/main" id="{0FEEA49C-51B8-B449-8C60-3959E53A1F86}"/>
            </a:ext>
          </a:extLst>
        </xdr:cNvPr>
        <xdr:cNvCxnSpPr>
          <a:stCxn id="69" idx="3"/>
          <a:endCxn id="70" idx="1"/>
        </xdr:cNvCxnSpPr>
      </xdr:nvCxnSpPr>
      <xdr:spPr>
        <a:xfrm>
          <a:off x="6273800" y="12903200"/>
          <a:ext cx="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70</xdr:row>
      <xdr:rowOff>139700</xdr:rowOff>
    </xdr:from>
    <xdr:to>
      <xdr:col>4</xdr:col>
      <xdr:colOff>190500</xdr:colOff>
      <xdr:row>72</xdr:row>
      <xdr:rowOff>38100</xdr:rowOff>
    </xdr:to>
    <xdr:sp macro="" textlink="">
      <xdr:nvSpPr>
        <xdr:cNvPr id="72" name="OpenSolver14">
          <a:extLst>
            <a:ext uri="{FF2B5EF4-FFF2-40B4-BE49-F238E27FC236}">
              <a16:creationId xmlns:a16="http://schemas.microsoft.com/office/drawing/2014/main" id="{A5F5B4DF-68BA-D4EE-D742-07379D281E93}"/>
            </a:ext>
          </a:extLst>
        </xdr:cNvPr>
        <xdr:cNvSpPr/>
      </xdr:nvSpPr>
      <xdr:spPr>
        <a:xfrm>
          <a:off x="6083300" y="127762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77</xdr:row>
      <xdr:rowOff>0</xdr:rowOff>
    </xdr:from>
    <xdr:to>
      <xdr:col>4</xdr:col>
      <xdr:colOff>0</xdr:colOff>
      <xdr:row>82</xdr:row>
      <xdr:rowOff>0</xdr:rowOff>
    </xdr:to>
    <xdr:sp macro="" textlink="">
      <xdr:nvSpPr>
        <xdr:cNvPr id="73" name="OpenSolverB78:D82">
          <a:extLst>
            <a:ext uri="{FF2B5EF4-FFF2-40B4-BE49-F238E27FC236}">
              <a16:creationId xmlns:a16="http://schemas.microsoft.com/office/drawing/2014/main" id="{0436F06C-1BE7-BEFD-4619-E080AA5059F6}"/>
            </a:ext>
          </a:extLst>
        </xdr:cNvPr>
        <xdr:cNvSpPr/>
      </xdr:nvSpPr>
      <xdr:spPr>
        <a:xfrm>
          <a:off x="3302000" y="13881100"/>
          <a:ext cx="2971800" cy="889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9900CC"/>
              </a:solidFill>
            </a:rPr>
            <a:t>1≥</a:t>
          </a:r>
        </a:p>
      </xdr:txBody>
    </xdr:sp>
    <xdr:clientData/>
  </xdr:twoCellAnchor>
  <xdr:twoCellAnchor>
    <xdr:from>
      <xdr:col>1</xdr:col>
      <xdr:colOff>0</xdr:colOff>
      <xdr:row>86</xdr:row>
      <xdr:rowOff>0</xdr:rowOff>
    </xdr:from>
    <xdr:to>
      <xdr:col>4</xdr:col>
      <xdr:colOff>0</xdr:colOff>
      <xdr:row>96</xdr:row>
      <xdr:rowOff>0</xdr:rowOff>
    </xdr:to>
    <xdr:sp macro="" textlink="">
      <xdr:nvSpPr>
        <xdr:cNvPr id="75" name="OpenSolver17">
          <a:extLst>
            <a:ext uri="{FF2B5EF4-FFF2-40B4-BE49-F238E27FC236}">
              <a16:creationId xmlns:a16="http://schemas.microsoft.com/office/drawing/2014/main" id="{072662CA-D352-8EEB-A542-937AF962517C}"/>
            </a:ext>
          </a:extLst>
        </xdr:cNvPr>
        <xdr:cNvSpPr/>
      </xdr:nvSpPr>
      <xdr:spPr>
        <a:xfrm>
          <a:off x="3302000" y="15481300"/>
          <a:ext cx="2971800" cy="17780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2</xdr:col>
      <xdr:colOff>307975</xdr:colOff>
      <xdr:row>66</xdr:row>
      <xdr:rowOff>44450</xdr:rowOff>
    </xdr:from>
    <xdr:to>
      <xdr:col>2</xdr:col>
      <xdr:colOff>688975</xdr:colOff>
      <xdr:row>67</xdr:row>
      <xdr:rowOff>120650</xdr:rowOff>
    </xdr:to>
    <xdr:sp macro="" textlink="">
      <xdr:nvSpPr>
        <xdr:cNvPr id="77" name="OpenSolver19">
          <a:extLst>
            <a:ext uri="{FF2B5EF4-FFF2-40B4-BE49-F238E27FC236}">
              <a16:creationId xmlns:a16="http://schemas.microsoft.com/office/drawing/2014/main" id="{32958357-49BD-4A5E-63C2-AE069E7D26F0}"/>
            </a:ext>
          </a:extLst>
        </xdr:cNvPr>
        <xdr:cNvSpPr/>
      </xdr:nvSpPr>
      <xdr:spPr>
        <a:xfrm>
          <a:off x="4600575" y="119697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4</xdr:col>
      <xdr:colOff>0</xdr:colOff>
      <xdr:row>100</xdr:row>
      <xdr:rowOff>0</xdr:rowOff>
    </xdr:to>
    <xdr:sp macro="" textlink="">
      <xdr:nvSpPr>
        <xdr:cNvPr id="78" name="OpenSolver20">
          <a:extLst>
            <a:ext uri="{FF2B5EF4-FFF2-40B4-BE49-F238E27FC236}">
              <a16:creationId xmlns:a16="http://schemas.microsoft.com/office/drawing/2014/main" id="{04A06DC3-D5F5-DE83-B168-120B5087F7EC}"/>
            </a:ext>
          </a:extLst>
        </xdr:cNvPr>
        <xdr:cNvSpPr/>
      </xdr:nvSpPr>
      <xdr:spPr>
        <a:xfrm>
          <a:off x="3302000" y="17792700"/>
          <a:ext cx="2971800" cy="1778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7</xdr:col>
      <xdr:colOff>0</xdr:colOff>
      <xdr:row>100</xdr:row>
      <xdr:rowOff>0</xdr:rowOff>
    </xdr:to>
    <xdr:sp macro="" textlink="">
      <xdr:nvSpPr>
        <xdr:cNvPr id="79" name="OpenSolver21">
          <a:extLst>
            <a:ext uri="{FF2B5EF4-FFF2-40B4-BE49-F238E27FC236}">
              <a16:creationId xmlns:a16="http://schemas.microsoft.com/office/drawing/2014/main" id="{78CDE507-DCAC-1CCD-B0AB-3B399E7A22AA}"/>
            </a:ext>
          </a:extLst>
        </xdr:cNvPr>
        <xdr:cNvSpPr/>
      </xdr:nvSpPr>
      <xdr:spPr>
        <a:xfrm>
          <a:off x="6273800" y="17792700"/>
          <a:ext cx="3543300" cy="1778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00CC33"/>
              </a:solidFill>
            </a:rPr>
            <a:t>≤</a:t>
          </a:r>
        </a:p>
      </xdr:txBody>
    </xdr:sp>
    <xdr:clientData/>
  </xdr:twoCellAnchor>
  <xdr:twoCellAnchor>
    <xdr:from>
      <xdr:col>4</xdr:col>
      <xdr:colOff>0</xdr:colOff>
      <xdr:row>99</xdr:row>
      <xdr:rowOff>88900</xdr:rowOff>
    </xdr:from>
    <xdr:to>
      <xdr:col>4</xdr:col>
      <xdr:colOff>0</xdr:colOff>
      <xdr:row>99</xdr:row>
      <xdr:rowOff>88900</xdr:rowOff>
    </xdr:to>
    <xdr:cxnSp macro="">
      <xdr:nvCxnSpPr>
        <xdr:cNvPr id="80" name="OpenSolver22">
          <a:extLst>
            <a:ext uri="{FF2B5EF4-FFF2-40B4-BE49-F238E27FC236}">
              <a16:creationId xmlns:a16="http://schemas.microsoft.com/office/drawing/2014/main" id="{4EA8233D-4B00-D082-5F9B-F18E5E728D93}"/>
            </a:ext>
          </a:extLst>
        </xdr:cNvPr>
        <xdr:cNvCxnSpPr>
          <a:stCxn id="78" idx="3"/>
          <a:endCxn id="79" idx="1"/>
        </xdr:cNvCxnSpPr>
      </xdr:nvCxnSpPr>
      <xdr:spPr>
        <a:xfrm>
          <a:off x="6273800" y="17881600"/>
          <a:ext cx="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98</xdr:row>
      <xdr:rowOff>139700</xdr:rowOff>
    </xdr:from>
    <xdr:to>
      <xdr:col>4</xdr:col>
      <xdr:colOff>190500</xdr:colOff>
      <xdr:row>100</xdr:row>
      <xdr:rowOff>38100</xdr:rowOff>
    </xdr:to>
    <xdr:sp macro="" textlink="">
      <xdr:nvSpPr>
        <xdr:cNvPr id="81" name="OpenSolver23">
          <a:extLst>
            <a:ext uri="{FF2B5EF4-FFF2-40B4-BE49-F238E27FC236}">
              <a16:creationId xmlns:a16="http://schemas.microsoft.com/office/drawing/2014/main" id="{CDA267D7-BDE9-9626-6CBE-B02941D10FED}"/>
            </a:ext>
          </a:extLst>
        </xdr:cNvPr>
        <xdr:cNvSpPr/>
      </xdr:nvSpPr>
      <xdr:spPr>
        <a:xfrm>
          <a:off x="6083300" y="17754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4</xdr:col>
      <xdr:colOff>0</xdr:colOff>
      <xdr:row>108</xdr:row>
      <xdr:rowOff>0</xdr:rowOff>
    </xdr:to>
    <xdr:sp macro="" textlink="">
      <xdr:nvSpPr>
        <xdr:cNvPr id="82" name="OpenSolver24">
          <a:extLst>
            <a:ext uri="{FF2B5EF4-FFF2-40B4-BE49-F238E27FC236}">
              <a16:creationId xmlns:a16="http://schemas.microsoft.com/office/drawing/2014/main" id="{0DA1AD4A-A5CA-B56A-55CA-4D8AF4DB2528}"/>
            </a:ext>
          </a:extLst>
        </xdr:cNvPr>
        <xdr:cNvSpPr/>
      </xdr:nvSpPr>
      <xdr:spPr>
        <a:xfrm>
          <a:off x="3302000" y="18503900"/>
          <a:ext cx="2971800" cy="8890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GB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7</xdr:col>
      <xdr:colOff>0</xdr:colOff>
      <xdr:row>108</xdr:row>
      <xdr:rowOff>0</xdr:rowOff>
    </xdr:to>
    <xdr:sp macro="" textlink="">
      <xdr:nvSpPr>
        <xdr:cNvPr id="83" name="OpenSolver25">
          <a:extLst>
            <a:ext uri="{FF2B5EF4-FFF2-40B4-BE49-F238E27FC236}">
              <a16:creationId xmlns:a16="http://schemas.microsoft.com/office/drawing/2014/main" id="{0A2FDC5F-AC04-5C8F-B1A2-189C53D944A8}"/>
            </a:ext>
          </a:extLst>
        </xdr:cNvPr>
        <xdr:cNvSpPr/>
      </xdr:nvSpPr>
      <xdr:spPr>
        <a:xfrm>
          <a:off x="6273800" y="18503900"/>
          <a:ext cx="3543300" cy="8890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GB" sz="1100" b="1">
              <a:solidFill>
                <a:srgbClr val="FF6600"/>
              </a:solidFill>
            </a:rPr>
            <a:t>=</a:t>
          </a:r>
        </a:p>
      </xdr:txBody>
    </xdr:sp>
    <xdr:clientData/>
  </xdr:twoCellAnchor>
  <xdr:twoCellAnchor>
    <xdr:from>
      <xdr:col>4</xdr:col>
      <xdr:colOff>0</xdr:colOff>
      <xdr:row>105</xdr:row>
      <xdr:rowOff>88900</xdr:rowOff>
    </xdr:from>
    <xdr:to>
      <xdr:col>4</xdr:col>
      <xdr:colOff>0</xdr:colOff>
      <xdr:row>105</xdr:row>
      <xdr:rowOff>88900</xdr:rowOff>
    </xdr:to>
    <xdr:cxnSp macro="">
      <xdr:nvCxnSpPr>
        <xdr:cNvPr id="84" name="OpenSolver26">
          <a:extLst>
            <a:ext uri="{FF2B5EF4-FFF2-40B4-BE49-F238E27FC236}">
              <a16:creationId xmlns:a16="http://schemas.microsoft.com/office/drawing/2014/main" id="{220D27E9-867B-3A3A-77ED-18B16CA3E3D7}"/>
            </a:ext>
          </a:extLst>
        </xdr:cNvPr>
        <xdr:cNvCxnSpPr>
          <a:stCxn id="82" idx="3"/>
          <a:endCxn id="83" idx="1"/>
        </xdr:cNvCxnSpPr>
      </xdr:nvCxnSpPr>
      <xdr:spPr>
        <a:xfrm>
          <a:off x="6273800" y="18948400"/>
          <a:ext cx="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104</xdr:row>
      <xdr:rowOff>139700</xdr:rowOff>
    </xdr:from>
    <xdr:to>
      <xdr:col>4</xdr:col>
      <xdr:colOff>190500</xdr:colOff>
      <xdr:row>106</xdr:row>
      <xdr:rowOff>38100</xdr:rowOff>
    </xdr:to>
    <xdr:sp macro="" textlink="">
      <xdr:nvSpPr>
        <xdr:cNvPr id="85" name="OpenSolver27">
          <a:extLst>
            <a:ext uri="{FF2B5EF4-FFF2-40B4-BE49-F238E27FC236}">
              <a16:creationId xmlns:a16="http://schemas.microsoft.com/office/drawing/2014/main" id="{69FF9787-AF7D-FBA8-550D-B42CD45069AF}"/>
            </a:ext>
          </a:extLst>
        </xdr:cNvPr>
        <xdr:cNvSpPr/>
      </xdr:nvSpPr>
      <xdr:spPr>
        <a:xfrm>
          <a:off x="6083300" y="18821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12700</xdr:colOff>
      <xdr:row>6</xdr:row>
      <xdr:rowOff>12700</xdr:rowOff>
    </xdr:from>
    <xdr:to>
      <xdr:col>2</xdr:col>
      <xdr:colOff>99006</xdr:colOff>
      <xdr:row>6</xdr:row>
      <xdr:rowOff>127000</xdr:rowOff>
    </xdr:to>
    <xdr:sp macro="" textlink="">
      <xdr:nvSpPr>
        <xdr:cNvPr id="86" name="OpenSolver28">
          <a:extLst>
            <a:ext uri="{FF2B5EF4-FFF2-40B4-BE49-F238E27FC236}">
              <a16:creationId xmlns:a16="http://schemas.microsoft.com/office/drawing/2014/main" id="{CFA857BD-BE2C-339F-CE17-A386F884A036}"/>
            </a:ext>
          </a:extLst>
        </xdr:cNvPr>
        <xdr:cNvSpPr/>
      </xdr:nvSpPr>
      <xdr:spPr>
        <a:xfrm>
          <a:off x="43053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6</xdr:row>
      <xdr:rowOff>12700</xdr:rowOff>
    </xdr:from>
    <xdr:to>
      <xdr:col>3</xdr:col>
      <xdr:colOff>99006</xdr:colOff>
      <xdr:row>6</xdr:row>
      <xdr:rowOff>127000</xdr:rowOff>
    </xdr:to>
    <xdr:sp macro="" textlink="">
      <xdr:nvSpPr>
        <xdr:cNvPr id="87" name="OpenSolver29">
          <a:extLst>
            <a:ext uri="{FF2B5EF4-FFF2-40B4-BE49-F238E27FC236}">
              <a16:creationId xmlns:a16="http://schemas.microsoft.com/office/drawing/2014/main" id="{88C000AE-291D-B604-909A-0AD367475DA8}"/>
            </a:ext>
          </a:extLst>
        </xdr:cNvPr>
        <xdr:cNvSpPr/>
      </xdr:nvSpPr>
      <xdr:spPr>
        <a:xfrm>
          <a:off x="52959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6</xdr:row>
      <xdr:rowOff>12700</xdr:rowOff>
    </xdr:from>
    <xdr:to>
      <xdr:col>4</xdr:col>
      <xdr:colOff>99006</xdr:colOff>
      <xdr:row>6</xdr:row>
      <xdr:rowOff>127000</xdr:rowOff>
    </xdr:to>
    <xdr:sp macro="" textlink="">
      <xdr:nvSpPr>
        <xdr:cNvPr id="88" name="OpenSolver30">
          <a:extLst>
            <a:ext uri="{FF2B5EF4-FFF2-40B4-BE49-F238E27FC236}">
              <a16:creationId xmlns:a16="http://schemas.microsoft.com/office/drawing/2014/main" id="{F11ED7FA-FEBF-0F4D-4AAB-B5A10EBD9735}"/>
            </a:ext>
          </a:extLst>
        </xdr:cNvPr>
        <xdr:cNvSpPr/>
      </xdr:nvSpPr>
      <xdr:spPr>
        <a:xfrm>
          <a:off x="62865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7</xdr:row>
      <xdr:rowOff>12700</xdr:rowOff>
    </xdr:from>
    <xdr:to>
      <xdr:col>2</xdr:col>
      <xdr:colOff>99006</xdr:colOff>
      <xdr:row>7</xdr:row>
      <xdr:rowOff>127000</xdr:rowOff>
    </xdr:to>
    <xdr:sp macro="" textlink="">
      <xdr:nvSpPr>
        <xdr:cNvPr id="89" name="OpenSolver31">
          <a:extLst>
            <a:ext uri="{FF2B5EF4-FFF2-40B4-BE49-F238E27FC236}">
              <a16:creationId xmlns:a16="http://schemas.microsoft.com/office/drawing/2014/main" id="{32B7C2A7-DC73-AFB8-BE09-269947DE9FE0}"/>
            </a:ext>
          </a:extLst>
        </xdr:cNvPr>
        <xdr:cNvSpPr/>
      </xdr:nvSpPr>
      <xdr:spPr>
        <a:xfrm>
          <a:off x="43053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7</xdr:row>
      <xdr:rowOff>12700</xdr:rowOff>
    </xdr:from>
    <xdr:to>
      <xdr:col>3</xdr:col>
      <xdr:colOff>99006</xdr:colOff>
      <xdr:row>7</xdr:row>
      <xdr:rowOff>127000</xdr:rowOff>
    </xdr:to>
    <xdr:sp macro="" textlink="">
      <xdr:nvSpPr>
        <xdr:cNvPr id="90" name="OpenSolver32">
          <a:extLst>
            <a:ext uri="{FF2B5EF4-FFF2-40B4-BE49-F238E27FC236}">
              <a16:creationId xmlns:a16="http://schemas.microsoft.com/office/drawing/2014/main" id="{B0B43A30-286F-0413-6C1A-A19604C60E15}"/>
            </a:ext>
          </a:extLst>
        </xdr:cNvPr>
        <xdr:cNvSpPr/>
      </xdr:nvSpPr>
      <xdr:spPr>
        <a:xfrm>
          <a:off x="52959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7</xdr:row>
      <xdr:rowOff>12700</xdr:rowOff>
    </xdr:from>
    <xdr:to>
      <xdr:col>4</xdr:col>
      <xdr:colOff>99006</xdr:colOff>
      <xdr:row>7</xdr:row>
      <xdr:rowOff>127000</xdr:rowOff>
    </xdr:to>
    <xdr:sp macro="" textlink="">
      <xdr:nvSpPr>
        <xdr:cNvPr id="91" name="OpenSolver33">
          <a:extLst>
            <a:ext uri="{FF2B5EF4-FFF2-40B4-BE49-F238E27FC236}">
              <a16:creationId xmlns:a16="http://schemas.microsoft.com/office/drawing/2014/main" id="{93E11185-CEFB-E1EF-BBA9-3D2F5299C69B}"/>
            </a:ext>
          </a:extLst>
        </xdr:cNvPr>
        <xdr:cNvSpPr/>
      </xdr:nvSpPr>
      <xdr:spPr>
        <a:xfrm>
          <a:off x="62865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8</xdr:row>
      <xdr:rowOff>12700</xdr:rowOff>
    </xdr:from>
    <xdr:to>
      <xdr:col>2</xdr:col>
      <xdr:colOff>99006</xdr:colOff>
      <xdr:row>8</xdr:row>
      <xdr:rowOff>127000</xdr:rowOff>
    </xdr:to>
    <xdr:sp macro="" textlink="">
      <xdr:nvSpPr>
        <xdr:cNvPr id="92" name="OpenSolver34">
          <a:extLst>
            <a:ext uri="{FF2B5EF4-FFF2-40B4-BE49-F238E27FC236}">
              <a16:creationId xmlns:a16="http://schemas.microsoft.com/office/drawing/2014/main" id="{39DB1273-BF0E-2E43-51C6-B81B2185A261}"/>
            </a:ext>
          </a:extLst>
        </xdr:cNvPr>
        <xdr:cNvSpPr/>
      </xdr:nvSpPr>
      <xdr:spPr>
        <a:xfrm>
          <a:off x="43053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8</xdr:row>
      <xdr:rowOff>12700</xdr:rowOff>
    </xdr:from>
    <xdr:to>
      <xdr:col>3</xdr:col>
      <xdr:colOff>99006</xdr:colOff>
      <xdr:row>8</xdr:row>
      <xdr:rowOff>127000</xdr:rowOff>
    </xdr:to>
    <xdr:sp macro="" textlink="">
      <xdr:nvSpPr>
        <xdr:cNvPr id="93" name="OpenSolver35">
          <a:extLst>
            <a:ext uri="{FF2B5EF4-FFF2-40B4-BE49-F238E27FC236}">
              <a16:creationId xmlns:a16="http://schemas.microsoft.com/office/drawing/2014/main" id="{FF63F3A4-97CD-00E0-3853-2FE9C5B5B9F2}"/>
            </a:ext>
          </a:extLst>
        </xdr:cNvPr>
        <xdr:cNvSpPr/>
      </xdr:nvSpPr>
      <xdr:spPr>
        <a:xfrm>
          <a:off x="52959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8</xdr:row>
      <xdr:rowOff>12700</xdr:rowOff>
    </xdr:from>
    <xdr:to>
      <xdr:col>4</xdr:col>
      <xdr:colOff>99006</xdr:colOff>
      <xdr:row>8</xdr:row>
      <xdr:rowOff>127000</xdr:rowOff>
    </xdr:to>
    <xdr:sp macro="" textlink="">
      <xdr:nvSpPr>
        <xdr:cNvPr id="94" name="OpenSolver36">
          <a:extLst>
            <a:ext uri="{FF2B5EF4-FFF2-40B4-BE49-F238E27FC236}">
              <a16:creationId xmlns:a16="http://schemas.microsoft.com/office/drawing/2014/main" id="{B6361644-406D-402E-9E40-89D19D53EE92}"/>
            </a:ext>
          </a:extLst>
        </xdr:cNvPr>
        <xdr:cNvSpPr/>
      </xdr:nvSpPr>
      <xdr:spPr>
        <a:xfrm>
          <a:off x="62865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9</xdr:row>
      <xdr:rowOff>12700</xdr:rowOff>
    </xdr:from>
    <xdr:to>
      <xdr:col>2</xdr:col>
      <xdr:colOff>99006</xdr:colOff>
      <xdr:row>9</xdr:row>
      <xdr:rowOff>127000</xdr:rowOff>
    </xdr:to>
    <xdr:sp macro="" textlink="">
      <xdr:nvSpPr>
        <xdr:cNvPr id="95" name="OpenSolver37">
          <a:extLst>
            <a:ext uri="{FF2B5EF4-FFF2-40B4-BE49-F238E27FC236}">
              <a16:creationId xmlns:a16="http://schemas.microsoft.com/office/drawing/2014/main" id="{99839430-C805-1992-A73B-ABAFD57AA89B}"/>
            </a:ext>
          </a:extLst>
        </xdr:cNvPr>
        <xdr:cNvSpPr/>
      </xdr:nvSpPr>
      <xdr:spPr>
        <a:xfrm>
          <a:off x="43053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9</xdr:row>
      <xdr:rowOff>12700</xdr:rowOff>
    </xdr:from>
    <xdr:to>
      <xdr:col>3</xdr:col>
      <xdr:colOff>99006</xdr:colOff>
      <xdr:row>9</xdr:row>
      <xdr:rowOff>127000</xdr:rowOff>
    </xdr:to>
    <xdr:sp macro="" textlink="">
      <xdr:nvSpPr>
        <xdr:cNvPr id="96" name="OpenSolver38">
          <a:extLst>
            <a:ext uri="{FF2B5EF4-FFF2-40B4-BE49-F238E27FC236}">
              <a16:creationId xmlns:a16="http://schemas.microsoft.com/office/drawing/2014/main" id="{8ACE1C4D-CCC7-2CA6-F028-25BCFA1CCE44}"/>
            </a:ext>
          </a:extLst>
        </xdr:cNvPr>
        <xdr:cNvSpPr/>
      </xdr:nvSpPr>
      <xdr:spPr>
        <a:xfrm>
          <a:off x="52959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9</xdr:row>
      <xdr:rowOff>12700</xdr:rowOff>
    </xdr:from>
    <xdr:to>
      <xdr:col>4</xdr:col>
      <xdr:colOff>99006</xdr:colOff>
      <xdr:row>9</xdr:row>
      <xdr:rowOff>127000</xdr:rowOff>
    </xdr:to>
    <xdr:sp macro="" textlink="">
      <xdr:nvSpPr>
        <xdr:cNvPr id="97" name="OpenSolver39">
          <a:extLst>
            <a:ext uri="{FF2B5EF4-FFF2-40B4-BE49-F238E27FC236}">
              <a16:creationId xmlns:a16="http://schemas.microsoft.com/office/drawing/2014/main" id="{76B4493E-39CD-7FA6-96C0-8002A1383CA8}"/>
            </a:ext>
          </a:extLst>
        </xdr:cNvPr>
        <xdr:cNvSpPr/>
      </xdr:nvSpPr>
      <xdr:spPr>
        <a:xfrm>
          <a:off x="62865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10</xdr:row>
      <xdr:rowOff>12700</xdr:rowOff>
    </xdr:from>
    <xdr:to>
      <xdr:col>2</xdr:col>
      <xdr:colOff>99006</xdr:colOff>
      <xdr:row>10</xdr:row>
      <xdr:rowOff>127000</xdr:rowOff>
    </xdr:to>
    <xdr:sp macro="" textlink="">
      <xdr:nvSpPr>
        <xdr:cNvPr id="98" name="OpenSolver40">
          <a:extLst>
            <a:ext uri="{FF2B5EF4-FFF2-40B4-BE49-F238E27FC236}">
              <a16:creationId xmlns:a16="http://schemas.microsoft.com/office/drawing/2014/main" id="{9E9EE70A-5016-69F0-C1B8-D8CA2D8E00E7}"/>
            </a:ext>
          </a:extLst>
        </xdr:cNvPr>
        <xdr:cNvSpPr/>
      </xdr:nvSpPr>
      <xdr:spPr>
        <a:xfrm>
          <a:off x="43053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10</xdr:row>
      <xdr:rowOff>12700</xdr:rowOff>
    </xdr:from>
    <xdr:to>
      <xdr:col>3</xdr:col>
      <xdr:colOff>99006</xdr:colOff>
      <xdr:row>10</xdr:row>
      <xdr:rowOff>127000</xdr:rowOff>
    </xdr:to>
    <xdr:sp macro="" textlink="">
      <xdr:nvSpPr>
        <xdr:cNvPr id="99" name="OpenSolver41">
          <a:extLst>
            <a:ext uri="{FF2B5EF4-FFF2-40B4-BE49-F238E27FC236}">
              <a16:creationId xmlns:a16="http://schemas.microsoft.com/office/drawing/2014/main" id="{5B77F9F1-0BC4-9A03-734A-3FEF794DF0B1}"/>
            </a:ext>
          </a:extLst>
        </xdr:cNvPr>
        <xdr:cNvSpPr/>
      </xdr:nvSpPr>
      <xdr:spPr>
        <a:xfrm>
          <a:off x="52959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10</xdr:row>
      <xdr:rowOff>12700</xdr:rowOff>
    </xdr:from>
    <xdr:to>
      <xdr:col>4</xdr:col>
      <xdr:colOff>99006</xdr:colOff>
      <xdr:row>10</xdr:row>
      <xdr:rowOff>127000</xdr:rowOff>
    </xdr:to>
    <xdr:sp macro="" textlink="">
      <xdr:nvSpPr>
        <xdr:cNvPr id="100" name="OpenSolver42">
          <a:extLst>
            <a:ext uri="{FF2B5EF4-FFF2-40B4-BE49-F238E27FC236}">
              <a16:creationId xmlns:a16="http://schemas.microsoft.com/office/drawing/2014/main" id="{5E04C9AD-F8B1-6EC3-D425-DC00DA0DF075}"/>
            </a:ext>
          </a:extLst>
        </xdr:cNvPr>
        <xdr:cNvSpPr/>
      </xdr:nvSpPr>
      <xdr:spPr>
        <a:xfrm>
          <a:off x="62865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99006</xdr:colOff>
      <xdr:row>11</xdr:row>
      <xdr:rowOff>127000</xdr:rowOff>
    </xdr:to>
    <xdr:sp macro="" textlink="">
      <xdr:nvSpPr>
        <xdr:cNvPr id="101" name="OpenSolver43">
          <a:extLst>
            <a:ext uri="{FF2B5EF4-FFF2-40B4-BE49-F238E27FC236}">
              <a16:creationId xmlns:a16="http://schemas.microsoft.com/office/drawing/2014/main" id="{D8E96F21-A07E-1D06-A08D-2A5A1BEE6D31}"/>
            </a:ext>
          </a:extLst>
        </xdr:cNvPr>
        <xdr:cNvSpPr/>
      </xdr:nvSpPr>
      <xdr:spPr>
        <a:xfrm>
          <a:off x="43053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11</xdr:row>
      <xdr:rowOff>12700</xdr:rowOff>
    </xdr:from>
    <xdr:to>
      <xdr:col>3</xdr:col>
      <xdr:colOff>99006</xdr:colOff>
      <xdr:row>11</xdr:row>
      <xdr:rowOff>127000</xdr:rowOff>
    </xdr:to>
    <xdr:sp macro="" textlink="">
      <xdr:nvSpPr>
        <xdr:cNvPr id="102" name="OpenSolver44">
          <a:extLst>
            <a:ext uri="{FF2B5EF4-FFF2-40B4-BE49-F238E27FC236}">
              <a16:creationId xmlns:a16="http://schemas.microsoft.com/office/drawing/2014/main" id="{012BE3D5-C2B4-5C79-1085-74B5DAD6D118}"/>
            </a:ext>
          </a:extLst>
        </xdr:cNvPr>
        <xdr:cNvSpPr/>
      </xdr:nvSpPr>
      <xdr:spPr>
        <a:xfrm>
          <a:off x="52959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11</xdr:row>
      <xdr:rowOff>12700</xdr:rowOff>
    </xdr:from>
    <xdr:to>
      <xdr:col>4</xdr:col>
      <xdr:colOff>99006</xdr:colOff>
      <xdr:row>11</xdr:row>
      <xdr:rowOff>127000</xdr:rowOff>
    </xdr:to>
    <xdr:sp macro="" textlink="">
      <xdr:nvSpPr>
        <xdr:cNvPr id="103" name="OpenSolver45">
          <a:extLst>
            <a:ext uri="{FF2B5EF4-FFF2-40B4-BE49-F238E27FC236}">
              <a16:creationId xmlns:a16="http://schemas.microsoft.com/office/drawing/2014/main" id="{ACFB57CF-C2CA-D546-5F49-0616307ADE9E}"/>
            </a:ext>
          </a:extLst>
        </xdr:cNvPr>
        <xdr:cNvSpPr/>
      </xdr:nvSpPr>
      <xdr:spPr>
        <a:xfrm>
          <a:off x="62865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12</xdr:row>
      <xdr:rowOff>12700</xdr:rowOff>
    </xdr:from>
    <xdr:to>
      <xdr:col>2</xdr:col>
      <xdr:colOff>99006</xdr:colOff>
      <xdr:row>12</xdr:row>
      <xdr:rowOff>127000</xdr:rowOff>
    </xdr:to>
    <xdr:sp macro="" textlink="">
      <xdr:nvSpPr>
        <xdr:cNvPr id="104" name="OpenSolver46">
          <a:extLst>
            <a:ext uri="{FF2B5EF4-FFF2-40B4-BE49-F238E27FC236}">
              <a16:creationId xmlns:a16="http://schemas.microsoft.com/office/drawing/2014/main" id="{79AB8D70-13A4-D32B-4BC2-C56C4E6F7E39}"/>
            </a:ext>
          </a:extLst>
        </xdr:cNvPr>
        <xdr:cNvSpPr/>
      </xdr:nvSpPr>
      <xdr:spPr>
        <a:xfrm>
          <a:off x="43053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12</xdr:row>
      <xdr:rowOff>12700</xdr:rowOff>
    </xdr:from>
    <xdr:to>
      <xdr:col>3</xdr:col>
      <xdr:colOff>99006</xdr:colOff>
      <xdr:row>12</xdr:row>
      <xdr:rowOff>127000</xdr:rowOff>
    </xdr:to>
    <xdr:sp macro="" textlink="">
      <xdr:nvSpPr>
        <xdr:cNvPr id="105" name="OpenSolver47">
          <a:extLst>
            <a:ext uri="{FF2B5EF4-FFF2-40B4-BE49-F238E27FC236}">
              <a16:creationId xmlns:a16="http://schemas.microsoft.com/office/drawing/2014/main" id="{659267C7-76CC-1044-42FE-1C467375C4D2}"/>
            </a:ext>
          </a:extLst>
        </xdr:cNvPr>
        <xdr:cNvSpPr/>
      </xdr:nvSpPr>
      <xdr:spPr>
        <a:xfrm>
          <a:off x="52959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12</xdr:row>
      <xdr:rowOff>12700</xdr:rowOff>
    </xdr:from>
    <xdr:to>
      <xdr:col>4</xdr:col>
      <xdr:colOff>99006</xdr:colOff>
      <xdr:row>12</xdr:row>
      <xdr:rowOff>127000</xdr:rowOff>
    </xdr:to>
    <xdr:sp macro="" textlink="">
      <xdr:nvSpPr>
        <xdr:cNvPr id="106" name="OpenSolver48">
          <a:extLst>
            <a:ext uri="{FF2B5EF4-FFF2-40B4-BE49-F238E27FC236}">
              <a16:creationId xmlns:a16="http://schemas.microsoft.com/office/drawing/2014/main" id="{1BB7A5E0-5D39-F8E8-A66E-177EE7B8A415}"/>
            </a:ext>
          </a:extLst>
        </xdr:cNvPr>
        <xdr:cNvSpPr/>
      </xdr:nvSpPr>
      <xdr:spPr>
        <a:xfrm>
          <a:off x="62865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13</xdr:row>
      <xdr:rowOff>12700</xdr:rowOff>
    </xdr:from>
    <xdr:to>
      <xdr:col>2</xdr:col>
      <xdr:colOff>99006</xdr:colOff>
      <xdr:row>13</xdr:row>
      <xdr:rowOff>127000</xdr:rowOff>
    </xdr:to>
    <xdr:sp macro="" textlink="">
      <xdr:nvSpPr>
        <xdr:cNvPr id="107" name="OpenSolver49">
          <a:extLst>
            <a:ext uri="{FF2B5EF4-FFF2-40B4-BE49-F238E27FC236}">
              <a16:creationId xmlns:a16="http://schemas.microsoft.com/office/drawing/2014/main" id="{2F4EBEBC-5CA3-9081-9B30-B06EF2990798}"/>
            </a:ext>
          </a:extLst>
        </xdr:cNvPr>
        <xdr:cNvSpPr/>
      </xdr:nvSpPr>
      <xdr:spPr>
        <a:xfrm>
          <a:off x="43053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13</xdr:row>
      <xdr:rowOff>12700</xdr:rowOff>
    </xdr:from>
    <xdr:to>
      <xdr:col>3</xdr:col>
      <xdr:colOff>99006</xdr:colOff>
      <xdr:row>13</xdr:row>
      <xdr:rowOff>127000</xdr:rowOff>
    </xdr:to>
    <xdr:sp macro="" textlink="">
      <xdr:nvSpPr>
        <xdr:cNvPr id="108" name="OpenSolver50">
          <a:extLst>
            <a:ext uri="{FF2B5EF4-FFF2-40B4-BE49-F238E27FC236}">
              <a16:creationId xmlns:a16="http://schemas.microsoft.com/office/drawing/2014/main" id="{5290F7E9-2AD9-B505-23D8-9474651BCC38}"/>
            </a:ext>
          </a:extLst>
        </xdr:cNvPr>
        <xdr:cNvSpPr/>
      </xdr:nvSpPr>
      <xdr:spPr>
        <a:xfrm>
          <a:off x="52959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13</xdr:row>
      <xdr:rowOff>12700</xdr:rowOff>
    </xdr:from>
    <xdr:to>
      <xdr:col>4</xdr:col>
      <xdr:colOff>99006</xdr:colOff>
      <xdr:row>13</xdr:row>
      <xdr:rowOff>127000</xdr:rowOff>
    </xdr:to>
    <xdr:sp macro="" textlink="">
      <xdr:nvSpPr>
        <xdr:cNvPr id="109" name="OpenSolver51">
          <a:extLst>
            <a:ext uri="{FF2B5EF4-FFF2-40B4-BE49-F238E27FC236}">
              <a16:creationId xmlns:a16="http://schemas.microsoft.com/office/drawing/2014/main" id="{25FC9E21-C81F-655A-0B9C-FC3321A37CBE}"/>
            </a:ext>
          </a:extLst>
        </xdr:cNvPr>
        <xdr:cNvSpPr/>
      </xdr:nvSpPr>
      <xdr:spPr>
        <a:xfrm>
          <a:off x="62865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99006</xdr:colOff>
      <xdr:row>14</xdr:row>
      <xdr:rowOff>127000</xdr:rowOff>
    </xdr:to>
    <xdr:sp macro="" textlink="">
      <xdr:nvSpPr>
        <xdr:cNvPr id="110" name="OpenSolver52">
          <a:extLst>
            <a:ext uri="{FF2B5EF4-FFF2-40B4-BE49-F238E27FC236}">
              <a16:creationId xmlns:a16="http://schemas.microsoft.com/office/drawing/2014/main" id="{77BB888A-EEF5-DE36-C671-2C2E17272846}"/>
            </a:ext>
          </a:extLst>
        </xdr:cNvPr>
        <xdr:cNvSpPr/>
      </xdr:nvSpPr>
      <xdr:spPr>
        <a:xfrm>
          <a:off x="43053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14</xdr:row>
      <xdr:rowOff>12700</xdr:rowOff>
    </xdr:from>
    <xdr:to>
      <xdr:col>3</xdr:col>
      <xdr:colOff>99006</xdr:colOff>
      <xdr:row>14</xdr:row>
      <xdr:rowOff>127000</xdr:rowOff>
    </xdr:to>
    <xdr:sp macro="" textlink="">
      <xdr:nvSpPr>
        <xdr:cNvPr id="111" name="OpenSolver53">
          <a:extLst>
            <a:ext uri="{FF2B5EF4-FFF2-40B4-BE49-F238E27FC236}">
              <a16:creationId xmlns:a16="http://schemas.microsoft.com/office/drawing/2014/main" id="{56560223-992B-F66A-D678-BCDF4AFCEED9}"/>
            </a:ext>
          </a:extLst>
        </xdr:cNvPr>
        <xdr:cNvSpPr/>
      </xdr:nvSpPr>
      <xdr:spPr>
        <a:xfrm>
          <a:off x="52959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14</xdr:row>
      <xdr:rowOff>12700</xdr:rowOff>
    </xdr:from>
    <xdr:to>
      <xdr:col>4</xdr:col>
      <xdr:colOff>99006</xdr:colOff>
      <xdr:row>14</xdr:row>
      <xdr:rowOff>127000</xdr:rowOff>
    </xdr:to>
    <xdr:sp macro="" textlink="">
      <xdr:nvSpPr>
        <xdr:cNvPr id="112" name="OpenSolver54">
          <a:extLst>
            <a:ext uri="{FF2B5EF4-FFF2-40B4-BE49-F238E27FC236}">
              <a16:creationId xmlns:a16="http://schemas.microsoft.com/office/drawing/2014/main" id="{8026CD40-2AA9-4094-E549-304C06FC25AB}"/>
            </a:ext>
          </a:extLst>
        </xdr:cNvPr>
        <xdr:cNvSpPr/>
      </xdr:nvSpPr>
      <xdr:spPr>
        <a:xfrm>
          <a:off x="62865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99006</xdr:colOff>
      <xdr:row>15</xdr:row>
      <xdr:rowOff>127000</xdr:rowOff>
    </xdr:to>
    <xdr:sp macro="" textlink="">
      <xdr:nvSpPr>
        <xdr:cNvPr id="113" name="OpenSolver55">
          <a:extLst>
            <a:ext uri="{FF2B5EF4-FFF2-40B4-BE49-F238E27FC236}">
              <a16:creationId xmlns:a16="http://schemas.microsoft.com/office/drawing/2014/main" id="{415BD730-BF30-AFE6-46F7-5A2B8D41B787}"/>
            </a:ext>
          </a:extLst>
        </xdr:cNvPr>
        <xdr:cNvSpPr/>
      </xdr:nvSpPr>
      <xdr:spPr>
        <a:xfrm>
          <a:off x="43053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15</xdr:row>
      <xdr:rowOff>12700</xdr:rowOff>
    </xdr:from>
    <xdr:to>
      <xdr:col>3</xdr:col>
      <xdr:colOff>99006</xdr:colOff>
      <xdr:row>15</xdr:row>
      <xdr:rowOff>127000</xdr:rowOff>
    </xdr:to>
    <xdr:sp macro="" textlink="">
      <xdr:nvSpPr>
        <xdr:cNvPr id="114" name="OpenSolver56">
          <a:extLst>
            <a:ext uri="{FF2B5EF4-FFF2-40B4-BE49-F238E27FC236}">
              <a16:creationId xmlns:a16="http://schemas.microsoft.com/office/drawing/2014/main" id="{D185738F-8674-286F-C2B2-053A98FFCB35}"/>
            </a:ext>
          </a:extLst>
        </xdr:cNvPr>
        <xdr:cNvSpPr/>
      </xdr:nvSpPr>
      <xdr:spPr>
        <a:xfrm>
          <a:off x="52959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15</xdr:row>
      <xdr:rowOff>12700</xdr:rowOff>
    </xdr:from>
    <xdr:to>
      <xdr:col>4</xdr:col>
      <xdr:colOff>99006</xdr:colOff>
      <xdr:row>15</xdr:row>
      <xdr:rowOff>127000</xdr:rowOff>
    </xdr:to>
    <xdr:sp macro="" textlink="">
      <xdr:nvSpPr>
        <xdr:cNvPr id="115" name="OpenSolver57">
          <a:extLst>
            <a:ext uri="{FF2B5EF4-FFF2-40B4-BE49-F238E27FC236}">
              <a16:creationId xmlns:a16="http://schemas.microsoft.com/office/drawing/2014/main" id="{939984D8-B5BF-05A7-44C8-2C0B3196B82E}"/>
            </a:ext>
          </a:extLst>
        </xdr:cNvPr>
        <xdr:cNvSpPr/>
      </xdr:nvSpPr>
      <xdr:spPr>
        <a:xfrm>
          <a:off x="62865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1104900</xdr:colOff>
      <xdr:row>122</xdr:row>
      <xdr:rowOff>101600</xdr:rowOff>
    </xdr:from>
    <xdr:to>
      <xdr:col>4</xdr:col>
      <xdr:colOff>218389</xdr:colOff>
      <xdr:row>123</xdr:row>
      <xdr:rowOff>50800</xdr:rowOff>
    </xdr:to>
    <xdr:sp macro="" textlink="">
      <xdr:nvSpPr>
        <xdr:cNvPr id="141" name="OpenSolver6">
          <a:extLst>
            <a:ext uri="{FF2B5EF4-FFF2-40B4-BE49-F238E27FC236}">
              <a16:creationId xmlns:a16="http://schemas.microsoft.com/office/drawing/2014/main" id="{46CB9CBA-E7FB-E9BE-F3FB-3455D5FD06C6}"/>
            </a:ext>
          </a:extLst>
        </xdr:cNvPr>
        <xdr:cNvSpPr/>
      </xdr:nvSpPr>
      <xdr:spPr>
        <a:xfrm>
          <a:off x="6388100" y="21996400"/>
          <a:ext cx="231089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in </a:t>
          </a:r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0</xdr:colOff>
      <xdr:row>63</xdr:row>
      <xdr:rowOff>0</xdr:rowOff>
    </xdr:to>
    <xdr:cxnSp macro="">
      <xdr:nvCxnSpPr>
        <xdr:cNvPr id="144" name="OpenSolver9">
          <a:extLst>
            <a:ext uri="{FF2B5EF4-FFF2-40B4-BE49-F238E27FC236}">
              <a16:creationId xmlns:a16="http://schemas.microsoft.com/office/drawing/2014/main" id="{0B4A2858-8573-E46C-9F23-375B321CEE76}"/>
            </a:ext>
          </a:extLst>
        </xdr:cNvPr>
        <xdr:cNvCxnSpPr>
          <a:cxnSpLocks/>
        </xdr:cNvCxnSpPr>
      </xdr:nvCxnSpPr>
      <xdr:spPr>
        <a:xfrm>
          <a:off x="6400800" y="11391900"/>
          <a:ext cx="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71</xdr:row>
      <xdr:rowOff>88900</xdr:rowOff>
    </xdr:from>
    <xdr:to>
      <xdr:col>4</xdr:col>
      <xdr:colOff>0</xdr:colOff>
      <xdr:row>71</xdr:row>
      <xdr:rowOff>88900</xdr:rowOff>
    </xdr:to>
    <xdr:cxnSp macro="">
      <xdr:nvCxnSpPr>
        <xdr:cNvPr id="148" name="OpenSolver13">
          <a:extLst>
            <a:ext uri="{FF2B5EF4-FFF2-40B4-BE49-F238E27FC236}">
              <a16:creationId xmlns:a16="http://schemas.microsoft.com/office/drawing/2014/main" id="{6773C163-5A48-6E32-81B0-8A52E8072F56}"/>
            </a:ext>
          </a:extLst>
        </xdr:cNvPr>
        <xdr:cNvCxnSpPr>
          <a:cxnSpLocks/>
        </xdr:cNvCxnSpPr>
      </xdr:nvCxnSpPr>
      <xdr:spPr>
        <a:xfrm>
          <a:off x="6400800" y="12903200"/>
          <a:ext cx="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927100</xdr:colOff>
      <xdr:row>70</xdr:row>
      <xdr:rowOff>139700</xdr:rowOff>
    </xdr:from>
    <xdr:to>
      <xdr:col>4</xdr:col>
      <xdr:colOff>190500</xdr:colOff>
      <xdr:row>72</xdr:row>
      <xdr:rowOff>38100</xdr:rowOff>
    </xdr:to>
    <xdr:sp macro="" textlink="">
      <xdr:nvSpPr>
        <xdr:cNvPr id="149" name="OpenSolver14">
          <a:extLst>
            <a:ext uri="{FF2B5EF4-FFF2-40B4-BE49-F238E27FC236}">
              <a16:creationId xmlns:a16="http://schemas.microsoft.com/office/drawing/2014/main" id="{646DBB80-04DD-7708-E079-3D782450D077}"/>
            </a:ext>
          </a:extLst>
        </xdr:cNvPr>
        <xdr:cNvSpPr/>
      </xdr:nvSpPr>
      <xdr:spPr>
        <a:xfrm>
          <a:off x="6210300" y="127762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371475</xdr:colOff>
      <xdr:row>66</xdr:row>
      <xdr:rowOff>44450</xdr:rowOff>
    </xdr:from>
    <xdr:to>
      <xdr:col>2</xdr:col>
      <xdr:colOff>752475</xdr:colOff>
      <xdr:row>67</xdr:row>
      <xdr:rowOff>120650</xdr:rowOff>
    </xdr:to>
    <xdr:sp macro="" textlink="">
      <xdr:nvSpPr>
        <xdr:cNvPr id="154" name="OpenSolver19">
          <a:extLst>
            <a:ext uri="{FF2B5EF4-FFF2-40B4-BE49-F238E27FC236}">
              <a16:creationId xmlns:a16="http://schemas.microsoft.com/office/drawing/2014/main" id="{F456120B-5FF0-EF13-AE5C-D8B85F288CE0}"/>
            </a:ext>
          </a:extLst>
        </xdr:cNvPr>
        <xdr:cNvSpPr/>
      </xdr:nvSpPr>
      <xdr:spPr>
        <a:xfrm>
          <a:off x="4664075" y="119697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0</xdr:colOff>
      <xdr:row>99</xdr:row>
      <xdr:rowOff>88900</xdr:rowOff>
    </xdr:from>
    <xdr:to>
      <xdr:col>4</xdr:col>
      <xdr:colOff>0</xdr:colOff>
      <xdr:row>99</xdr:row>
      <xdr:rowOff>88900</xdr:rowOff>
    </xdr:to>
    <xdr:cxnSp macro="">
      <xdr:nvCxnSpPr>
        <xdr:cNvPr id="157" name="OpenSolver22">
          <a:extLst>
            <a:ext uri="{FF2B5EF4-FFF2-40B4-BE49-F238E27FC236}">
              <a16:creationId xmlns:a16="http://schemas.microsoft.com/office/drawing/2014/main" id="{6DB68E19-FAD1-6E26-914D-466C6E9A45F4}"/>
            </a:ext>
          </a:extLst>
        </xdr:cNvPr>
        <xdr:cNvCxnSpPr>
          <a:cxnSpLocks/>
        </xdr:cNvCxnSpPr>
      </xdr:nvCxnSpPr>
      <xdr:spPr>
        <a:xfrm>
          <a:off x="6400800" y="17881600"/>
          <a:ext cx="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927100</xdr:colOff>
      <xdr:row>98</xdr:row>
      <xdr:rowOff>139700</xdr:rowOff>
    </xdr:from>
    <xdr:to>
      <xdr:col>4</xdr:col>
      <xdr:colOff>190500</xdr:colOff>
      <xdr:row>100</xdr:row>
      <xdr:rowOff>38100</xdr:rowOff>
    </xdr:to>
    <xdr:sp macro="" textlink="">
      <xdr:nvSpPr>
        <xdr:cNvPr id="158" name="OpenSolver23">
          <a:extLst>
            <a:ext uri="{FF2B5EF4-FFF2-40B4-BE49-F238E27FC236}">
              <a16:creationId xmlns:a16="http://schemas.microsoft.com/office/drawing/2014/main" id="{C4FA91C6-CA66-4471-C4ED-C77F0DBEAFE3}"/>
            </a:ext>
          </a:extLst>
        </xdr:cNvPr>
        <xdr:cNvSpPr/>
      </xdr:nvSpPr>
      <xdr:spPr>
        <a:xfrm>
          <a:off x="6210300" y="17754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0</xdr:colOff>
      <xdr:row>105</xdr:row>
      <xdr:rowOff>88900</xdr:rowOff>
    </xdr:from>
    <xdr:to>
      <xdr:col>4</xdr:col>
      <xdr:colOff>0</xdr:colOff>
      <xdr:row>105</xdr:row>
      <xdr:rowOff>88900</xdr:rowOff>
    </xdr:to>
    <xdr:cxnSp macro="">
      <xdr:nvCxnSpPr>
        <xdr:cNvPr id="164" name="OpenSolver29">
          <a:extLst>
            <a:ext uri="{FF2B5EF4-FFF2-40B4-BE49-F238E27FC236}">
              <a16:creationId xmlns:a16="http://schemas.microsoft.com/office/drawing/2014/main" id="{31B7E8D7-7A31-B260-6F51-2CB79FDCFDCA}"/>
            </a:ext>
          </a:extLst>
        </xdr:cNvPr>
        <xdr:cNvCxnSpPr>
          <a:cxnSpLocks/>
        </xdr:cNvCxnSpPr>
      </xdr:nvCxnSpPr>
      <xdr:spPr>
        <a:xfrm>
          <a:off x="6400800" y="18948400"/>
          <a:ext cx="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927100</xdr:colOff>
      <xdr:row>104</xdr:row>
      <xdr:rowOff>139700</xdr:rowOff>
    </xdr:from>
    <xdr:to>
      <xdr:col>4</xdr:col>
      <xdr:colOff>190500</xdr:colOff>
      <xdr:row>106</xdr:row>
      <xdr:rowOff>38100</xdr:rowOff>
    </xdr:to>
    <xdr:sp macro="" textlink="">
      <xdr:nvSpPr>
        <xdr:cNvPr id="165" name="OpenSolver30">
          <a:extLst>
            <a:ext uri="{FF2B5EF4-FFF2-40B4-BE49-F238E27FC236}">
              <a16:creationId xmlns:a16="http://schemas.microsoft.com/office/drawing/2014/main" id="{7D112098-B4B8-42F6-14A6-66C48A29A9C6}"/>
            </a:ext>
          </a:extLst>
        </xdr:cNvPr>
        <xdr:cNvSpPr/>
      </xdr:nvSpPr>
      <xdr:spPr>
        <a:xfrm>
          <a:off x="6210300" y="18821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12700</xdr:colOff>
      <xdr:row>6</xdr:row>
      <xdr:rowOff>12700</xdr:rowOff>
    </xdr:from>
    <xdr:to>
      <xdr:col>2</xdr:col>
      <xdr:colOff>99006</xdr:colOff>
      <xdr:row>6</xdr:row>
      <xdr:rowOff>127000</xdr:rowOff>
    </xdr:to>
    <xdr:sp macro="" textlink="">
      <xdr:nvSpPr>
        <xdr:cNvPr id="166" name="OpenSolver31">
          <a:extLst>
            <a:ext uri="{FF2B5EF4-FFF2-40B4-BE49-F238E27FC236}">
              <a16:creationId xmlns:a16="http://schemas.microsoft.com/office/drawing/2014/main" id="{C27193A9-7B3C-9127-30E4-767BCCED1047}"/>
            </a:ext>
          </a:extLst>
        </xdr:cNvPr>
        <xdr:cNvSpPr/>
      </xdr:nvSpPr>
      <xdr:spPr>
        <a:xfrm>
          <a:off x="43053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6</xdr:row>
      <xdr:rowOff>12700</xdr:rowOff>
    </xdr:from>
    <xdr:to>
      <xdr:col>3</xdr:col>
      <xdr:colOff>99006</xdr:colOff>
      <xdr:row>6</xdr:row>
      <xdr:rowOff>127000</xdr:rowOff>
    </xdr:to>
    <xdr:sp macro="" textlink="">
      <xdr:nvSpPr>
        <xdr:cNvPr id="167" name="OpenSolver32">
          <a:extLst>
            <a:ext uri="{FF2B5EF4-FFF2-40B4-BE49-F238E27FC236}">
              <a16:creationId xmlns:a16="http://schemas.microsoft.com/office/drawing/2014/main" id="{D6AFFA18-43C9-829C-DB14-222820589E6B}"/>
            </a:ext>
          </a:extLst>
        </xdr:cNvPr>
        <xdr:cNvSpPr/>
      </xdr:nvSpPr>
      <xdr:spPr>
        <a:xfrm>
          <a:off x="52959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6</xdr:row>
      <xdr:rowOff>12700</xdr:rowOff>
    </xdr:from>
    <xdr:to>
      <xdr:col>4</xdr:col>
      <xdr:colOff>99006</xdr:colOff>
      <xdr:row>6</xdr:row>
      <xdr:rowOff>127000</xdr:rowOff>
    </xdr:to>
    <xdr:sp macro="" textlink="">
      <xdr:nvSpPr>
        <xdr:cNvPr id="168" name="OpenSolver33">
          <a:extLst>
            <a:ext uri="{FF2B5EF4-FFF2-40B4-BE49-F238E27FC236}">
              <a16:creationId xmlns:a16="http://schemas.microsoft.com/office/drawing/2014/main" id="{B53B7D95-2D03-A819-363E-6CE352BCA592}"/>
            </a:ext>
          </a:extLst>
        </xdr:cNvPr>
        <xdr:cNvSpPr/>
      </xdr:nvSpPr>
      <xdr:spPr>
        <a:xfrm>
          <a:off x="64135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7</xdr:row>
      <xdr:rowOff>12700</xdr:rowOff>
    </xdr:from>
    <xdr:to>
      <xdr:col>2</xdr:col>
      <xdr:colOff>99006</xdr:colOff>
      <xdr:row>7</xdr:row>
      <xdr:rowOff>127000</xdr:rowOff>
    </xdr:to>
    <xdr:sp macro="" textlink="">
      <xdr:nvSpPr>
        <xdr:cNvPr id="169" name="OpenSolver34">
          <a:extLst>
            <a:ext uri="{FF2B5EF4-FFF2-40B4-BE49-F238E27FC236}">
              <a16:creationId xmlns:a16="http://schemas.microsoft.com/office/drawing/2014/main" id="{FF14AAC5-F00D-AE52-5097-0EBC28EC51D9}"/>
            </a:ext>
          </a:extLst>
        </xdr:cNvPr>
        <xdr:cNvSpPr/>
      </xdr:nvSpPr>
      <xdr:spPr>
        <a:xfrm>
          <a:off x="43053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7</xdr:row>
      <xdr:rowOff>12700</xdr:rowOff>
    </xdr:from>
    <xdr:to>
      <xdr:col>3</xdr:col>
      <xdr:colOff>99006</xdr:colOff>
      <xdr:row>7</xdr:row>
      <xdr:rowOff>127000</xdr:rowOff>
    </xdr:to>
    <xdr:sp macro="" textlink="">
      <xdr:nvSpPr>
        <xdr:cNvPr id="170" name="OpenSolver35">
          <a:extLst>
            <a:ext uri="{FF2B5EF4-FFF2-40B4-BE49-F238E27FC236}">
              <a16:creationId xmlns:a16="http://schemas.microsoft.com/office/drawing/2014/main" id="{8117859D-8824-2F39-D14F-71CB4C56531A}"/>
            </a:ext>
          </a:extLst>
        </xdr:cNvPr>
        <xdr:cNvSpPr/>
      </xdr:nvSpPr>
      <xdr:spPr>
        <a:xfrm>
          <a:off x="52959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7</xdr:row>
      <xdr:rowOff>12700</xdr:rowOff>
    </xdr:from>
    <xdr:to>
      <xdr:col>4</xdr:col>
      <xdr:colOff>99006</xdr:colOff>
      <xdr:row>7</xdr:row>
      <xdr:rowOff>127000</xdr:rowOff>
    </xdr:to>
    <xdr:sp macro="" textlink="">
      <xdr:nvSpPr>
        <xdr:cNvPr id="171" name="OpenSolver36">
          <a:extLst>
            <a:ext uri="{FF2B5EF4-FFF2-40B4-BE49-F238E27FC236}">
              <a16:creationId xmlns:a16="http://schemas.microsoft.com/office/drawing/2014/main" id="{AAE61EFB-5B8D-3549-C910-B1B1A54E38DB}"/>
            </a:ext>
          </a:extLst>
        </xdr:cNvPr>
        <xdr:cNvSpPr/>
      </xdr:nvSpPr>
      <xdr:spPr>
        <a:xfrm>
          <a:off x="6413500" y="1435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8</xdr:row>
      <xdr:rowOff>12700</xdr:rowOff>
    </xdr:from>
    <xdr:to>
      <xdr:col>2</xdr:col>
      <xdr:colOff>99006</xdr:colOff>
      <xdr:row>8</xdr:row>
      <xdr:rowOff>127000</xdr:rowOff>
    </xdr:to>
    <xdr:sp macro="" textlink="">
      <xdr:nvSpPr>
        <xdr:cNvPr id="172" name="OpenSolver37">
          <a:extLst>
            <a:ext uri="{FF2B5EF4-FFF2-40B4-BE49-F238E27FC236}">
              <a16:creationId xmlns:a16="http://schemas.microsoft.com/office/drawing/2014/main" id="{4B7DDC87-DE85-F07B-F1A3-B809CFE9B0B7}"/>
            </a:ext>
          </a:extLst>
        </xdr:cNvPr>
        <xdr:cNvSpPr/>
      </xdr:nvSpPr>
      <xdr:spPr>
        <a:xfrm>
          <a:off x="43053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8</xdr:row>
      <xdr:rowOff>12700</xdr:rowOff>
    </xdr:from>
    <xdr:to>
      <xdr:col>3</xdr:col>
      <xdr:colOff>99006</xdr:colOff>
      <xdr:row>8</xdr:row>
      <xdr:rowOff>127000</xdr:rowOff>
    </xdr:to>
    <xdr:sp macro="" textlink="">
      <xdr:nvSpPr>
        <xdr:cNvPr id="173" name="OpenSolver38">
          <a:extLst>
            <a:ext uri="{FF2B5EF4-FFF2-40B4-BE49-F238E27FC236}">
              <a16:creationId xmlns:a16="http://schemas.microsoft.com/office/drawing/2014/main" id="{5FC54375-4D5F-FDE4-A94E-4AA849325D22}"/>
            </a:ext>
          </a:extLst>
        </xdr:cNvPr>
        <xdr:cNvSpPr/>
      </xdr:nvSpPr>
      <xdr:spPr>
        <a:xfrm>
          <a:off x="52959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8</xdr:row>
      <xdr:rowOff>12700</xdr:rowOff>
    </xdr:from>
    <xdr:to>
      <xdr:col>4</xdr:col>
      <xdr:colOff>99006</xdr:colOff>
      <xdr:row>8</xdr:row>
      <xdr:rowOff>127000</xdr:rowOff>
    </xdr:to>
    <xdr:sp macro="" textlink="">
      <xdr:nvSpPr>
        <xdr:cNvPr id="174" name="OpenSolver39">
          <a:extLst>
            <a:ext uri="{FF2B5EF4-FFF2-40B4-BE49-F238E27FC236}">
              <a16:creationId xmlns:a16="http://schemas.microsoft.com/office/drawing/2014/main" id="{F972601E-B04A-FABB-98AD-03CCC3EFB649}"/>
            </a:ext>
          </a:extLst>
        </xdr:cNvPr>
        <xdr:cNvSpPr/>
      </xdr:nvSpPr>
      <xdr:spPr>
        <a:xfrm>
          <a:off x="6413500" y="1612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9</xdr:row>
      <xdr:rowOff>12700</xdr:rowOff>
    </xdr:from>
    <xdr:to>
      <xdr:col>2</xdr:col>
      <xdr:colOff>99006</xdr:colOff>
      <xdr:row>9</xdr:row>
      <xdr:rowOff>127000</xdr:rowOff>
    </xdr:to>
    <xdr:sp macro="" textlink="">
      <xdr:nvSpPr>
        <xdr:cNvPr id="175" name="OpenSolver40">
          <a:extLst>
            <a:ext uri="{FF2B5EF4-FFF2-40B4-BE49-F238E27FC236}">
              <a16:creationId xmlns:a16="http://schemas.microsoft.com/office/drawing/2014/main" id="{6B1BB42D-3A89-10EF-F26C-8CF426C07ACE}"/>
            </a:ext>
          </a:extLst>
        </xdr:cNvPr>
        <xdr:cNvSpPr/>
      </xdr:nvSpPr>
      <xdr:spPr>
        <a:xfrm>
          <a:off x="43053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9</xdr:row>
      <xdr:rowOff>12700</xdr:rowOff>
    </xdr:from>
    <xdr:to>
      <xdr:col>3</xdr:col>
      <xdr:colOff>99006</xdr:colOff>
      <xdr:row>9</xdr:row>
      <xdr:rowOff>127000</xdr:rowOff>
    </xdr:to>
    <xdr:sp macro="" textlink="">
      <xdr:nvSpPr>
        <xdr:cNvPr id="176" name="OpenSolver41">
          <a:extLst>
            <a:ext uri="{FF2B5EF4-FFF2-40B4-BE49-F238E27FC236}">
              <a16:creationId xmlns:a16="http://schemas.microsoft.com/office/drawing/2014/main" id="{7E9D80F9-979B-93C1-1D5B-09332BB21532}"/>
            </a:ext>
          </a:extLst>
        </xdr:cNvPr>
        <xdr:cNvSpPr/>
      </xdr:nvSpPr>
      <xdr:spPr>
        <a:xfrm>
          <a:off x="52959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9</xdr:row>
      <xdr:rowOff>12700</xdr:rowOff>
    </xdr:from>
    <xdr:to>
      <xdr:col>4</xdr:col>
      <xdr:colOff>99006</xdr:colOff>
      <xdr:row>9</xdr:row>
      <xdr:rowOff>127000</xdr:rowOff>
    </xdr:to>
    <xdr:sp macro="" textlink="">
      <xdr:nvSpPr>
        <xdr:cNvPr id="177" name="OpenSolver42">
          <a:extLst>
            <a:ext uri="{FF2B5EF4-FFF2-40B4-BE49-F238E27FC236}">
              <a16:creationId xmlns:a16="http://schemas.microsoft.com/office/drawing/2014/main" id="{D7578D7C-7A71-089D-8623-7F96A8C414BB}"/>
            </a:ext>
          </a:extLst>
        </xdr:cNvPr>
        <xdr:cNvSpPr/>
      </xdr:nvSpPr>
      <xdr:spPr>
        <a:xfrm>
          <a:off x="6413500" y="1790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10</xdr:row>
      <xdr:rowOff>12700</xdr:rowOff>
    </xdr:from>
    <xdr:to>
      <xdr:col>2</xdr:col>
      <xdr:colOff>99006</xdr:colOff>
      <xdr:row>10</xdr:row>
      <xdr:rowOff>127000</xdr:rowOff>
    </xdr:to>
    <xdr:sp macro="" textlink="">
      <xdr:nvSpPr>
        <xdr:cNvPr id="178" name="OpenSolver43">
          <a:extLst>
            <a:ext uri="{FF2B5EF4-FFF2-40B4-BE49-F238E27FC236}">
              <a16:creationId xmlns:a16="http://schemas.microsoft.com/office/drawing/2014/main" id="{3D1E343E-FB8B-00CB-9BF6-36A8268A8DE3}"/>
            </a:ext>
          </a:extLst>
        </xdr:cNvPr>
        <xdr:cNvSpPr/>
      </xdr:nvSpPr>
      <xdr:spPr>
        <a:xfrm>
          <a:off x="43053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10</xdr:row>
      <xdr:rowOff>12700</xdr:rowOff>
    </xdr:from>
    <xdr:to>
      <xdr:col>3</xdr:col>
      <xdr:colOff>99006</xdr:colOff>
      <xdr:row>10</xdr:row>
      <xdr:rowOff>127000</xdr:rowOff>
    </xdr:to>
    <xdr:sp macro="" textlink="">
      <xdr:nvSpPr>
        <xdr:cNvPr id="179" name="OpenSolver44">
          <a:extLst>
            <a:ext uri="{FF2B5EF4-FFF2-40B4-BE49-F238E27FC236}">
              <a16:creationId xmlns:a16="http://schemas.microsoft.com/office/drawing/2014/main" id="{3CAA4019-6463-DCA4-5020-8562CA423890}"/>
            </a:ext>
          </a:extLst>
        </xdr:cNvPr>
        <xdr:cNvSpPr/>
      </xdr:nvSpPr>
      <xdr:spPr>
        <a:xfrm>
          <a:off x="52959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10</xdr:row>
      <xdr:rowOff>12700</xdr:rowOff>
    </xdr:from>
    <xdr:to>
      <xdr:col>4</xdr:col>
      <xdr:colOff>99006</xdr:colOff>
      <xdr:row>10</xdr:row>
      <xdr:rowOff>127000</xdr:rowOff>
    </xdr:to>
    <xdr:sp macro="" textlink="">
      <xdr:nvSpPr>
        <xdr:cNvPr id="180" name="OpenSolver45">
          <a:extLst>
            <a:ext uri="{FF2B5EF4-FFF2-40B4-BE49-F238E27FC236}">
              <a16:creationId xmlns:a16="http://schemas.microsoft.com/office/drawing/2014/main" id="{8EFD9C65-359E-B563-6C98-C39661BC7F23}"/>
            </a:ext>
          </a:extLst>
        </xdr:cNvPr>
        <xdr:cNvSpPr/>
      </xdr:nvSpPr>
      <xdr:spPr>
        <a:xfrm>
          <a:off x="6413500" y="1968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99006</xdr:colOff>
      <xdr:row>11</xdr:row>
      <xdr:rowOff>127000</xdr:rowOff>
    </xdr:to>
    <xdr:sp macro="" textlink="">
      <xdr:nvSpPr>
        <xdr:cNvPr id="181" name="OpenSolver46">
          <a:extLst>
            <a:ext uri="{FF2B5EF4-FFF2-40B4-BE49-F238E27FC236}">
              <a16:creationId xmlns:a16="http://schemas.microsoft.com/office/drawing/2014/main" id="{C80E728F-DE4C-CC00-E51F-054ABCC491CC}"/>
            </a:ext>
          </a:extLst>
        </xdr:cNvPr>
        <xdr:cNvSpPr/>
      </xdr:nvSpPr>
      <xdr:spPr>
        <a:xfrm>
          <a:off x="43053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11</xdr:row>
      <xdr:rowOff>12700</xdr:rowOff>
    </xdr:from>
    <xdr:to>
      <xdr:col>3</xdr:col>
      <xdr:colOff>99006</xdr:colOff>
      <xdr:row>11</xdr:row>
      <xdr:rowOff>127000</xdr:rowOff>
    </xdr:to>
    <xdr:sp macro="" textlink="">
      <xdr:nvSpPr>
        <xdr:cNvPr id="182" name="OpenSolver47">
          <a:extLst>
            <a:ext uri="{FF2B5EF4-FFF2-40B4-BE49-F238E27FC236}">
              <a16:creationId xmlns:a16="http://schemas.microsoft.com/office/drawing/2014/main" id="{3FC81A6A-2116-7652-F06A-B33DE6278101}"/>
            </a:ext>
          </a:extLst>
        </xdr:cNvPr>
        <xdr:cNvSpPr/>
      </xdr:nvSpPr>
      <xdr:spPr>
        <a:xfrm>
          <a:off x="52959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11</xdr:row>
      <xdr:rowOff>12700</xdr:rowOff>
    </xdr:from>
    <xdr:to>
      <xdr:col>4</xdr:col>
      <xdr:colOff>99006</xdr:colOff>
      <xdr:row>11</xdr:row>
      <xdr:rowOff>127000</xdr:rowOff>
    </xdr:to>
    <xdr:sp macro="" textlink="">
      <xdr:nvSpPr>
        <xdr:cNvPr id="183" name="OpenSolver48">
          <a:extLst>
            <a:ext uri="{FF2B5EF4-FFF2-40B4-BE49-F238E27FC236}">
              <a16:creationId xmlns:a16="http://schemas.microsoft.com/office/drawing/2014/main" id="{421C38EE-3EDD-1BCF-919A-198311ED9376}"/>
            </a:ext>
          </a:extLst>
        </xdr:cNvPr>
        <xdr:cNvSpPr/>
      </xdr:nvSpPr>
      <xdr:spPr>
        <a:xfrm>
          <a:off x="6413500" y="2146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12</xdr:row>
      <xdr:rowOff>12700</xdr:rowOff>
    </xdr:from>
    <xdr:to>
      <xdr:col>2</xdr:col>
      <xdr:colOff>99006</xdr:colOff>
      <xdr:row>12</xdr:row>
      <xdr:rowOff>127000</xdr:rowOff>
    </xdr:to>
    <xdr:sp macro="" textlink="">
      <xdr:nvSpPr>
        <xdr:cNvPr id="184" name="OpenSolver49">
          <a:extLst>
            <a:ext uri="{FF2B5EF4-FFF2-40B4-BE49-F238E27FC236}">
              <a16:creationId xmlns:a16="http://schemas.microsoft.com/office/drawing/2014/main" id="{3D8933C0-4646-B796-B7A8-37B345950609}"/>
            </a:ext>
          </a:extLst>
        </xdr:cNvPr>
        <xdr:cNvSpPr/>
      </xdr:nvSpPr>
      <xdr:spPr>
        <a:xfrm>
          <a:off x="43053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12</xdr:row>
      <xdr:rowOff>12700</xdr:rowOff>
    </xdr:from>
    <xdr:to>
      <xdr:col>3</xdr:col>
      <xdr:colOff>99006</xdr:colOff>
      <xdr:row>12</xdr:row>
      <xdr:rowOff>127000</xdr:rowOff>
    </xdr:to>
    <xdr:sp macro="" textlink="">
      <xdr:nvSpPr>
        <xdr:cNvPr id="185" name="OpenSolver50">
          <a:extLst>
            <a:ext uri="{FF2B5EF4-FFF2-40B4-BE49-F238E27FC236}">
              <a16:creationId xmlns:a16="http://schemas.microsoft.com/office/drawing/2014/main" id="{B096B065-A6B5-F2EB-475B-9FBF7E997927}"/>
            </a:ext>
          </a:extLst>
        </xdr:cNvPr>
        <xdr:cNvSpPr/>
      </xdr:nvSpPr>
      <xdr:spPr>
        <a:xfrm>
          <a:off x="52959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12</xdr:row>
      <xdr:rowOff>12700</xdr:rowOff>
    </xdr:from>
    <xdr:to>
      <xdr:col>4</xdr:col>
      <xdr:colOff>99006</xdr:colOff>
      <xdr:row>12</xdr:row>
      <xdr:rowOff>127000</xdr:rowOff>
    </xdr:to>
    <xdr:sp macro="" textlink="">
      <xdr:nvSpPr>
        <xdr:cNvPr id="186" name="OpenSolver51">
          <a:extLst>
            <a:ext uri="{FF2B5EF4-FFF2-40B4-BE49-F238E27FC236}">
              <a16:creationId xmlns:a16="http://schemas.microsoft.com/office/drawing/2014/main" id="{4E02A69A-7BFD-62E4-0128-79C174A4A6A0}"/>
            </a:ext>
          </a:extLst>
        </xdr:cNvPr>
        <xdr:cNvSpPr/>
      </xdr:nvSpPr>
      <xdr:spPr>
        <a:xfrm>
          <a:off x="6413500" y="232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13</xdr:row>
      <xdr:rowOff>12700</xdr:rowOff>
    </xdr:from>
    <xdr:to>
      <xdr:col>2</xdr:col>
      <xdr:colOff>99006</xdr:colOff>
      <xdr:row>13</xdr:row>
      <xdr:rowOff>127000</xdr:rowOff>
    </xdr:to>
    <xdr:sp macro="" textlink="">
      <xdr:nvSpPr>
        <xdr:cNvPr id="187" name="OpenSolver52">
          <a:extLst>
            <a:ext uri="{FF2B5EF4-FFF2-40B4-BE49-F238E27FC236}">
              <a16:creationId xmlns:a16="http://schemas.microsoft.com/office/drawing/2014/main" id="{746C60A7-AAF0-D946-17CA-5304A09DBA86}"/>
            </a:ext>
          </a:extLst>
        </xdr:cNvPr>
        <xdr:cNvSpPr/>
      </xdr:nvSpPr>
      <xdr:spPr>
        <a:xfrm>
          <a:off x="43053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13</xdr:row>
      <xdr:rowOff>12700</xdr:rowOff>
    </xdr:from>
    <xdr:to>
      <xdr:col>3</xdr:col>
      <xdr:colOff>99006</xdr:colOff>
      <xdr:row>13</xdr:row>
      <xdr:rowOff>127000</xdr:rowOff>
    </xdr:to>
    <xdr:sp macro="" textlink="">
      <xdr:nvSpPr>
        <xdr:cNvPr id="188" name="OpenSolver53">
          <a:extLst>
            <a:ext uri="{FF2B5EF4-FFF2-40B4-BE49-F238E27FC236}">
              <a16:creationId xmlns:a16="http://schemas.microsoft.com/office/drawing/2014/main" id="{B891AC89-FE70-C34D-989E-4E3D14BC0984}"/>
            </a:ext>
          </a:extLst>
        </xdr:cNvPr>
        <xdr:cNvSpPr/>
      </xdr:nvSpPr>
      <xdr:spPr>
        <a:xfrm>
          <a:off x="52959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13</xdr:row>
      <xdr:rowOff>12700</xdr:rowOff>
    </xdr:from>
    <xdr:to>
      <xdr:col>4</xdr:col>
      <xdr:colOff>99006</xdr:colOff>
      <xdr:row>13</xdr:row>
      <xdr:rowOff>127000</xdr:rowOff>
    </xdr:to>
    <xdr:sp macro="" textlink="">
      <xdr:nvSpPr>
        <xdr:cNvPr id="189" name="OpenSolver54">
          <a:extLst>
            <a:ext uri="{FF2B5EF4-FFF2-40B4-BE49-F238E27FC236}">
              <a16:creationId xmlns:a16="http://schemas.microsoft.com/office/drawing/2014/main" id="{E55F2556-4BE9-F6FF-4366-EA5D6668FB1A}"/>
            </a:ext>
          </a:extLst>
        </xdr:cNvPr>
        <xdr:cNvSpPr/>
      </xdr:nvSpPr>
      <xdr:spPr>
        <a:xfrm>
          <a:off x="6413500" y="2501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14</xdr:row>
      <xdr:rowOff>12700</xdr:rowOff>
    </xdr:from>
    <xdr:to>
      <xdr:col>2</xdr:col>
      <xdr:colOff>99006</xdr:colOff>
      <xdr:row>14</xdr:row>
      <xdr:rowOff>127000</xdr:rowOff>
    </xdr:to>
    <xdr:sp macro="" textlink="">
      <xdr:nvSpPr>
        <xdr:cNvPr id="190" name="OpenSolver55">
          <a:extLst>
            <a:ext uri="{FF2B5EF4-FFF2-40B4-BE49-F238E27FC236}">
              <a16:creationId xmlns:a16="http://schemas.microsoft.com/office/drawing/2014/main" id="{0F50C86D-DA0F-F485-1E89-8AEEFFE958FF}"/>
            </a:ext>
          </a:extLst>
        </xdr:cNvPr>
        <xdr:cNvSpPr/>
      </xdr:nvSpPr>
      <xdr:spPr>
        <a:xfrm>
          <a:off x="43053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14</xdr:row>
      <xdr:rowOff>12700</xdr:rowOff>
    </xdr:from>
    <xdr:to>
      <xdr:col>3</xdr:col>
      <xdr:colOff>99006</xdr:colOff>
      <xdr:row>14</xdr:row>
      <xdr:rowOff>127000</xdr:rowOff>
    </xdr:to>
    <xdr:sp macro="" textlink="">
      <xdr:nvSpPr>
        <xdr:cNvPr id="191" name="OpenSolver56">
          <a:extLst>
            <a:ext uri="{FF2B5EF4-FFF2-40B4-BE49-F238E27FC236}">
              <a16:creationId xmlns:a16="http://schemas.microsoft.com/office/drawing/2014/main" id="{19D601A5-7CDB-1F67-CD45-20B0736A2C58}"/>
            </a:ext>
          </a:extLst>
        </xdr:cNvPr>
        <xdr:cNvSpPr/>
      </xdr:nvSpPr>
      <xdr:spPr>
        <a:xfrm>
          <a:off x="52959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14</xdr:row>
      <xdr:rowOff>12700</xdr:rowOff>
    </xdr:from>
    <xdr:to>
      <xdr:col>4</xdr:col>
      <xdr:colOff>99006</xdr:colOff>
      <xdr:row>14</xdr:row>
      <xdr:rowOff>127000</xdr:rowOff>
    </xdr:to>
    <xdr:sp macro="" textlink="">
      <xdr:nvSpPr>
        <xdr:cNvPr id="192" name="OpenSolver57">
          <a:extLst>
            <a:ext uri="{FF2B5EF4-FFF2-40B4-BE49-F238E27FC236}">
              <a16:creationId xmlns:a16="http://schemas.microsoft.com/office/drawing/2014/main" id="{296069E0-093D-57BC-0FD7-ABCA78110550}"/>
            </a:ext>
          </a:extLst>
        </xdr:cNvPr>
        <xdr:cNvSpPr/>
      </xdr:nvSpPr>
      <xdr:spPr>
        <a:xfrm>
          <a:off x="64135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12700</xdr:colOff>
      <xdr:row>15</xdr:row>
      <xdr:rowOff>12700</xdr:rowOff>
    </xdr:from>
    <xdr:to>
      <xdr:col>2</xdr:col>
      <xdr:colOff>99006</xdr:colOff>
      <xdr:row>15</xdr:row>
      <xdr:rowOff>127000</xdr:rowOff>
    </xdr:to>
    <xdr:sp macro="" textlink="">
      <xdr:nvSpPr>
        <xdr:cNvPr id="193" name="OpenSolver58">
          <a:extLst>
            <a:ext uri="{FF2B5EF4-FFF2-40B4-BE49-F238E27FC236}">
              <a16:creationId xmlns:a16="http://schemas.microsoft.com/office/drawing/2014/main" id="{02E38C8A-0328-1D4C-5AE1-1C04D21830DC}"/>
            </a:ext>
          </a:extLst>
        </xdr:cNvPr>
        <xdr:cNvSpPr/>
      </xdr:nvSpPr>
      <xdr:spPr>
        <a:xfrm>
          <a:off x="43053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15</xdr:row>
      <xdr:rowOff>12700</xdr:rowOff>
    </xdr:from>
    <xdr:to>
      <xdr:col>3</xdr:col>
      <xdr:colOff>99006</xdr:colOff>
      <xdr:row>15</xdr:row>
      <xdr:rowOff>127000</xdr:rowOff>
    </xdr:to>
    <xdr:sp macro="" textlink="">
      <xdr:nvSpPr>
        <xdr:cNvPr id="194" name="OpenSolver59">
          <a:extLst>
            <a:ext uri="{FF2B5EF4-FFF2-40B4-BE49-F238E27FC236}">
              <a16:creationId xmlns:a16="http://schemas.microsoft.com/office/drawing/2014/main" id="{00F01D74-D26F-9044-8578-6CDDB6B88704}"/>
            </a:ext>
          </a:extLst>
        </xdr:cNvPr>
        <xdr:cNvSpPr/>
      </xdr:nvSpPr>
      <xdr:spPr>
        <a:xfrm>
          <a:off x="52959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12700</xdr:colOff>
      <xdr:row>15</xdr:row>
      <xdr:rowOff>12700</xdr:rowOff>
    </xdr:from>
    <xdr:to>
      <xdr:col>4</xdr:col>
      <xdr:colOff>99006</xdr:colOff>
      <xdr:row>15</xdr:row>
      <xdr:rowOff>127000</xdr:rowOff>
    </xdr:to>
    <xdr:sp macro="" textlink="">
      <xdr:nvSpPr>
        <xdr:cNvPr id="195" name="OpenSolver60">
          <a:extLst>
            <a:ext uri="{FF2B5EF4-FFF2-40B4-BE49-F238E27FC236}">
              <a16:creationId xmlns:a16="http://schemas.microsoft.com/office/drawing/2014/main" id="{A1148372-3E86-FB31-A7D8-4FDDE2243BF5}"/>
            </a:ext>
          </a:extLst>
        </xdr:cNvPr>
        <xdr:cNvSpPr/>
      </xdr:nvSpPr>
      <xdr:spPr>
        <a:xfrm>
          <a:off x="6413500" y="2857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GB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opLeftCell="A56" zoomScale="82" workbookViewId="0">
      <selection activeCell="C67" sqref="C67"/>
    </sheetView>
  </sheetViews>
  <sheetFormatPr baseColWidth="10" defaultColWidth="14.5" defaultRowHeight="15" customHeight="1" x14ac:dyDescent="0.2"/>
  <cols>
    <col min="1" max="1" width="12" customWidth="1"/>
    <col min="2" max="2" width="14" customWidth="1"/>
    <col min="3" max="3" width="12" customWidth="1"/>
    <col min="4" max="6" width="13" customWidth="1"/>
    <col min="7" max="7" width="24" customWidth="1"/>
    <col min="8" max="10" width="13" customWidth="1"/>
    <col min="11" max="26" width="8.6640625" customWidth="1"/>
  </cols>
  <sheetData>
    <row r="1" spans="1:10" ht="27.75" customHeight="1" x14ac:dyDescent="0.2">
      <c r="A1" s="189" t="s">
        <v>148</v>
      </c>
      <c r="B1" s="190"/>
      <c r="C1" s="190"/>
      <c r="D1" s="190"/>
      <c r="E1" s="190"/>
      <c r="F1" s="190"/>
      <c r="G1" s="190"/>
      <c r="H1" s="190"/>
      <c r="I1" s="190"/>
      <c r="J1" s="191"/>
    </row>
    <row r="2" spans="1:10" ht="14.25" customHeight="1" x14ac:dyDescent="0.2"/>
    <row r="3" spans="1:10" ht="15" customHeight="1" x14ac:dyDescent="0.2">
      <c r="A3" s="192" t="s">
        <v>149</v>
      </c>
      <c r="B3" s="193"/>
      <c r="C3" s="193"/>
      <c r="D3" s="193"/>
      <c r="E3" s="193"/>
      <c r="F3" s="193"/>
      <c r="G3" s="193"/>
      <c r="H3" s="193"/>
      <c r="I3" s="194"/>
    </row>
    <row r="4" spans="1:10" ht="14.25" customHeight="1" x14ac:dyDescent="0.2">
      <c r="A4" s="84" t="s">
        <v>55</v>
      </c>
      <c r="B4" s="84" t="s">
        <v>150</v>
      </c>
      <c r="C4" s="84" t="s">
        <v>151</v>
      </c>
      <c r="D4" s="84" t="s">
        <v>59</v>
      </c>
      <c r="E4" s="84" t="s">
        <v>60</v>
      </c>
      <c r="F4" s="84" t="s">
        <v>61</v>
      </c>
      <c r="G4" s="84" t="s">
        <v>152</v>
      </c>
      <c r="H4" s="84" t="s">
        <v>153</v>
      </c>
      <c r="I4" s="84" t="s">
        <v>154</v>
      </c>
    </row>
    <row r="5" spans="1:10" ht="14.25" customHeight="1" x14ac:dyDescent="0.2">
      <c r="A5" s="82" t="s">
        <v>19</v>
      </c>
      <c r="B5" s="82" t="s">
        <v>155</v>
      </c>
      <c r="C5" s="83">
        <v>50000</v>
      </c>
      <c r="D5" s="83">
        <f t="shared" ref="D5:F5" si="0">C5*1.8</f>
        <v>90000</v>
      </c>
      <c r="E5" s="83">
        <f t="shared" si="0"/>
        <v>162000</v>
      </c>
      <c r="F5" s="83">
        <f t="shared" si="0"/>
        <v>291600</v>
      </c>
      <c r="G5" s="83">
        <f t="shared" ref="G5:I5" si="1">F5</f>
        <v>291600</v>
      </c>
      <c r="H5" s="83">
        <f t="shared" si="1"/>
        <v>291600</v>
      </c>
      <c r="I5" s="83">
        <f t="shared" si="1"/>
        <v>291600</v>
      </c>
    </row>
    <row r="6" spans="1:10" ht="14.25" customHeight="1" x14ac:dyDescent="0.2">
      <c r="A6" s="80" t="s">
        <v>19</v>
      </c>
      <c r="B6" s="80" t="s">
        <v>156</v>
      </c>
      <c r="C6" s="81">
        <v>20000</v>
      </c>
      <c r="D6" s="81">
        <f t="shared" ref="D6:F6" si="2">C6*1.8</f>
        <v>36000</v>
      </c>
      <c r="E6" s="81">
        <f t="shared" si="2"/>
        <v>64800</v>
      </c>
      <c r="F6" s="81">
        <f t="shared" si="2"/>
        <v>116640</v>
      </c>
      <c r="G6" s="81">
        <f t="shared" ref="G6:I6" si="3">F6</f>
        <v>116640</v>
      </c>
      <c r="H6" s="81">
        <f t="shared" si="3"/>
        <v>116640</v>
      </c>
      <c r="I6" s="81">
        <f t="shared" si="3"/>
        <v>116640</v>
      </c>
    </row>
    <row r="7" spans="1:10" ht="14.25" customHeight="1" x14ac:dyDescent="0.2">
      <c r="A7" s="80" t="s">
        <v>19</v>
      </c>
      <c r="B7" s="80" t="s">
        <v>157</v>
      </c>
      <c r="C7" s="81">
        <v>10000</v>
      </c>
      <c r="D7" s="81">
        <f t="shared" ref="D7:F7" si="4">C7*1.8</f>
        <v>18000</v>
      </c>
      <c r="E7" s="81">
        <f t="shared" si="4"/>
        <v>32400</v>
      </c>
      <c r="F7" s="81">
        <f t="shared" si="4"/>
        <v>58320</v>
      </c>
      <c r="G7" s="81">
        <f t="shared" ref="G7:I7" si="5">F7</f>
        <v>58320</v>
      </c>
      <c r="H7" s="81">
        <f t="shared" si="5"/>
        <v>58320</v>
      </c>
      <c r="I7" s="81">
        <f t="shared" si="5"/>
        <v>58320</v>
      </c>
    </row>
    <row r="8" spans="1:10" ht="14.25" customHeight="1" x14ac:dyDescent="0.2">
      <c r="A8" s="80" t="s">
        <v>19</v>
      </c>
      <c r="B8" s="80" t="s">
        <v>158</v>
      </c>
      <c r="C8" s="81">
        <v>60000</v>
      </c>
      <c r="D8" s="81">
        <f t="shared" ref="D8:F8" si="6">C8*1.8</f>
        <v>108000</v>
      </c>
      <c r="E8" s="81">
        <f t="shared" si="6"/>
        <v>194400</v>
      </c>
      <c r="F8" s="81">
        <f t="shared" si="6"/>
        <v>349920</v>
      </c>
      <c r="G8" s="81">
        <f t="shared" ref="G8:I8" si="7">F8</f>
        <v>349920</v>
      </c>
      <c r="H8" s="81">
        <f t="shared" si="7"/>
        <v>349920</v>
      </c>
      <c r="I8" s="81">
        <f t="shared" si="7"/>
        <v>349920</v>
      </c>
    </row>
    <row r="9" spans="1:10" ht="14.25" customHeight="1" x14ac:dyDescent="0.2">
      <c r="A9" s="80" t="s">
        <v>19</v>
      </c>
      <c r="B9" s="80" t="s">
        <v>159</v>
      </c>
      <c r="C9" s="81">
        <v>80000</v>
      </c>
      <c r="D9" s="81">
        <f t="shared" ref="D9:F9" si="8">C9*1.8</f>
        <v>144000</v>
      </c>
      <c r="E9" s="81">
        <f t="shared" si="8"/>
        <v>259200</v>
      </c>
      <c r="F9" s="81">
        <f t="shared" si="8"/>
        <v>466560</v>
      </c>
      <c r="G9" s="81">
        <f t="shared" ref="G9:I9" si="9">F9</f>
        <v>466560</v>
      </c>
      <c r="H9" s="81">
        <f t="shared" si="9"/>
        <v>466560</v>
      </c>
      <c r="I9" s="81">
        <f t="shared" si="9"/>
        <v>466560</v>
      </c>
    </row>
    <row r="10" spans="1:10" ht="14.25" customHeight="1" x14ac:dyDescent="0.2">
      <c r="A10" s="80" t="s">
        <v>19</v>
      </c>
      <c r="B10" s="80" t="s">
        <v>160</v>
      </c>
      <c r="C10" s="81">
        <v>75000</v>
      </c>
      <c r="D10" s="81">
        <f t="shared" ref="D10:F10" si="10">C10*1.8</f>
        <v>135000</v>
      </c>
      <c r="E10" s="81">
        <f t="shared" si="10"/>
        <v>243000</v>
      </c>
      <c r="F10" s="81">
        <f t="shared" si="10"/>
        <v>437400</v>
      </c>
      <c r="G10" s="81">
        <f t="shared" ref="G10:I10" si="11">F10</f>
        <v>437400</v>
      </c>
      <c r="H10" s="81">
        <f t="shared" si="11"/>
        <v>437400</v>
      </c>
      <c r="I10" s="81">
        <f t="shared" si="11"/>
        <v>437400</v>
      </c>
    </row>
    <row r="11" spans="1:10" ht="14.25" customHeight="1" x14ac:dyDescent="0.2">
      <c r="A11" s="80" t="s">
        <v>19</v>
      </c>
      <c r="B11" s="80" t="s">
        <v>161</v>
      </c>
      <c r="C11" s="81">
        <v>25000</v>
      </c>
      <c r="D11" s="81">
        <f t="shared" ref="D11:F11" si="12">C11*1.8</f>
        <v>45000</v>
      </c>
      <c r="E11" s="81">
        <f t="shared" si="12"/>
        <v>81000</v>
      </c>
      <c r="F11" s="81">
        <f t="shared" si="12"/>
        <v>145800</v>
      </c>
      <c r="G11" s="81">
        <f t="shared" ref="G11:I11" si="13">F11</f>
        <v>145800</v>
      </c>
      <c r="H11" s="81">
        <f t="shared" si="13"/>
        <v>145800</v>
      </c>
      <c r="I11" s="81">
        <f t="shared" si="13"/>
        <v>145800</v>
      </c>
    </row>
    <row r="12" spans="1:10" ht="14.25" customHeight="1" x14ac:dyDescent="0.2">
      <c r="A12" s="80" t="s">
        <v>62</v>
      </c>
      <c r="B12" s="80" t="s">
        <v>162</v>
      </c>
      <c r="C12" s="81">
        <v>10000</v>
      </c>
      <c r="D12" s="81">
        <f t="shared" ref="D12:F12" si="14">C12*1.8</f>
        <v>18000</v>
      </c>
      <c r="E12" s="81">
        <f t="shared" si="14"/>
        <v>32400</v>
      </c>
      <c r="F12" s="81">
        <f t="shared" si="14"/>
        <v>58320</v>
      </c>
      <c r="G12" s="81">
        <f t="shared" ref="G12:I12" si="15">F12</f>
        <v>58320</v>
      </c>
      <c r="H12" s="81">
        <f t="shared" si="15"/>
        <v>58320</v>
      </c>
      <c r="I12" s="81">
        <f t="shared" si="15"/>
        <v>58320</v>
      </c>
    </row>
    <row r="13" spans="1:10" ht="15" customHeight="1" x14ac:dyDescent="0.2">
      <c r="A13" s="80" t="s">
        <v>62</v>
      </c>
      <c r="B13" s="80" t="s">
        <v>163</v>
      </c>
      <c r="C13" s="81">
        <v>80000</v>
      </c>
      <c r="D13" s="81">
        <f t="shared" ref="D13:F13" si="16">C13*1.8</f>
        <v>144000</v>
      </c>
      <c r="E13" s="81">
        <f t="shared" si="16"/>
        <v>259200</v>
      </c>
      <c r="F13" s="81">
        <f t="shared" si="16"/>
        <v>466560</v>
      </c>
      <c r="G13" s="81">
        <f t="shared" ref="G13:I13" si="17">F13</f>
        <v>466560</v>
      </c>
      <c r="H13" s="81">
        <f t="shared" si="17"/>
        <v>466560</v>
      </c>
      <c r="I13" s="81">
        <f t="shared" si="17"/>
        <v>466560</v>
      </c>
    </row>
    <row r="14" spans="1:10" ht="14.25" customHeight="1" x14ac:dyDescent="0.2">
      <c r="A14" s="80" t="s">
        <v>62</v>
      </c>
      <c r="B14" s="80" t="s">
        <v>164</v>
      </c>
      <c r="C14" s="81">
        <v>60000</v>
      </c>
      <c r="D14" s="81">
        <f t="shared" ref="D14:F14" si="18">C14*1.8</f>
        <v>108000</v>
      </c>
      <c r="E14" s="81">
        <f t="shared" si="18"/>
        <v>194400</v>
      </c>
      <c r="F14" s="81">
        <f t="shared" si="18"/>
        <v>349920</v>
      </c>
      <c r="G14" s="81">
        <f t="shared" ref="G14:I14" si="19">F14</f>
        <v>349920</v>
      </c>
      <c r="H14" s="81">
        <f t="shared" si="19"/>
        <v>349920</v>
      </c>
      <c r="I14" s="81">
        <f t="shared" si="19"/>
        <v>349920</v>
      </c>
    </row>
    <row r="15" spans="1:10" ht="14.25" customHeight="1" x14ac:dyDescent="0.2">
      <c r="A15" s="80" t="s">
        <v>62</v>
      </c>
      <c r="B15" s="80" t="s">
        <v>165</v>
      </c>
      <c r="C15" s="81">
        <v>15000</v>
      </c>
      <c r="D15" s="81">
        <f t="shared" ref="D15:F15" si="20">C15*1.8</f>
        <v>27000</v>
      </c>
      <c r="E15" s="81">
        <f t="shared" si="20"/>
        <v>48600</v>
      </c>
      <c r="F15" s="81">
        <f t="shared" si="20"/>
        <v>87480</v>
      </c>
      <c r="G15" s="81">
        <f t="shared" ref="G15:I15" si="21">F15</f>
        <v>87480</v>
      </c>
      <c r="H15" s="81">
        <f t="shared" si="21"/>
        <v>87480</v>
      </c>
      <c r="I15" s="81">
        <f t="shared" si="21"/>
        <v>87480</v>
      </c>
    </row>
    <row r="16" spans="1:10" ht="14.25" customHeight="1" x14ac:dyDescent="0.2">
      <c r="A16" s="80" t="s">
        <v>62</v>
      </c>
      <c r="B16" s="80" t="s">
        <v>166</v>
      </c>
      <c r="C16" s="81">
        <v>35000</v>
      </c>
      <c r="D16" s="81">
        <f t="shared" ref="D16:F16" si="22">C16*1.8</f>
        <v>63000</v>
      </c>
      <c r="E16" s="81">
        <f t="shared" si="22"/>
        <v>113400</v>
      </c>
      <c r="F16" s="81">
        <f t="shared" si="22"/>
        <v>204120</v>
      </c>
      <c r="G16" s="81">
        <f t="shared" ref="G16:I16" si="23">F16</f>
        <v>204120</v>
      </c>
      <c r="H16" s="81">
        <f t="shared" si="23"/>
        <v>204120</v>
      </c>
      <c r="I16" s="81">
        <f t="shared" si="23"/>
        <v>204120</v>
      </c>
    </row>
    <row r="17" spans="1:9" ht="14.25" customHeight="1" x14ac:dyDescent="0.2">
      <c r="A17" s="80" t="s">
        <v>63</v>
      </c>
      <c r="B17" s="80" t="s">
        <v>167</v>
      </c>
      <c r="C17" s="81">
        <v>25000</v>
      </c>
      <c r="D17" s="81">
        <f t="shared" ref="D17:F17" si="24">C17*1.8</f>
        <v>45000</v>
      </c>
      <c r="E17" s="81">
        <f t="shared" si="24"/>
        <v>81000</v>
      </c>
      <c r="F17" s="81">
        <f t="shared" si="24"/>
        <v>145800</v>
      </c>
      <c r="G17" s="81">
        <f t="shared" ref="G17:I17" si="25">F17</f>
        <v>145800</v>
      </c>
      <c r="H17" s="81">
        <f t="shared" si="25"/>
        <v>145800</v>
      </c>
      <c r="I17" s="81">
        <f t="shared" si="25"/>
        <v>145800</v>
      </c>
    </row>
    <row r="18" spans="1:9" ht="14.25" customHeight="1" x14ac:dyDescent="0.2">
      <c r="A18" s="80" t="s">
        <v>63</v>
      </c>
      <c r="B18" s="80" t="s">
        <v>168</v>
      </c>
      <c r="C18" s="81">
        <v>20000</v>
      </c>
      <c r="D18" s="81">
        <f t="shared" ref="D18:F18" si="26">C18*1.8</f>
        <v>36000</v>
      </c>
      <c r="E18" s="81">
        <f t="shared" si="26"/>
        <v>64800</v>
      </c>
      <c r="F18" s="81">
        <f t="shared" si="26"/>
        <v>116640</v>
      </c>
      <c r="G18" s="81">
        <f t="shared" ref="G18:I18" si="27">F18</f>
        <v>116640</v>
      </c>
      <c r="H18" s="81">
        <f t="shared" si="27"/>
        <v>116640</v>
      </c>
      <c r="I18" s="81">
        <f t="shared" si="27"/>
        <v>116640</v>
      </c>
    </row>
    <row r="19" spans="1:9" ht="14.25" customHeight="1" x14ac:dyDescent="0.2">
      <c r="A19" s="80" t="s">
        <v>63</v>
      </c>
      <c r="B19" s="80" t="s">
        <v>169</v>
      </c>
      <c r="C19" s="81">
        <v>25000</v>
      </c>
      <c r="D19" s="81">
        <f t="shared" ref="D19:F19" si="28">C19*1.8</f>
        <v>45000</v>
      </c>
      <c r="E19" s="81">
        <f t="shared" si="28"/>
        <v>81000</v>
      </c>
      <c r="F19" s="81">
        <f t="shared" si="28"/>
        <v>145800</v>
      </c>
      <c r="G19" s="81">
        <f t="shared" ref="G19:I19" si="29">F19</f>
        <v>145800</v>
      </c>
      <c r="H19" s="81">
        <f t="shared" si="29"/>
        <v>145800</v>
      </c>
      <c r="I19" s="81">
        <f t="shared" si="29"/>
        <v>145800</v>
      </c>
    </row>
    <row r="20" spans="1:9" ht="14.25" customHeight="1" x14ac:dyDescent="0.2">
      <c r="A20" s="80" t="s">
        <v>63</v>
      </c>
      <c r="B20" s="80" t="s">
        <v>170</v>
      </c>
      <c r="C20" s="81">
        <v>10000</v>
      </c>
      <c r="D20" s="81">
        <f t="shared" ref="D20:F20" si="30">C20*1.8</f>
        <v>18000</v>
      </c>
      <c r="E20" s="81">
        <f t="shared" si="30"/>
        <v>32400</v>
      </c>
      <c r="F20" s="81">
        <f t="shared" si="30"/>
        <v>58320</v>
      </c>
      <c r="G20" s="81">
        <f t="shared" ref="G20:I20" si="31">F20</f>
        <v>58320</v>
      </c>
      <c r="H20" s="81">
        <f t="shared" si="31"/>
        <v>58320</v>
      </c>
      <c r="I20" s="81">
        <f t="shared" si="31"/>
        <v>58320</v>
      </c>
    </row>
    <row r="21" spans="1:9" ht="14.25" customHeight="1" x14ac:dyDescent="0.2">
      <c r="A21" s="80" t="s">
        <v>63</v>
      </c>
      <c r="B21" s="80" t="s">
        <v>171</v>
      </c>
      <c r="C21" s="81">
        <v>10000</v>
      </c>
      <c r="D21" s="81">
        <f t="shared" ref="D21:F21" si="32">C21*1.8</f>
        <v>18000</v>
      </c>
      <c r="E21" s="81">
        <f t="shared" si="32"/>
        <v>32400</v>
      </c>
      <c r="F21" s="81">
        <f t="shared" si="32"/>
        <v>58320</v>
      </c>
      <c r="G21" s="81">
        <f t="shared" ref="G21:I21" si="33">F21</f>
        <v>58320</v>
      </c>
      <c r="H21" s="81">
        <f t="shared" si="33"/>
        <v>58320</v>
      </c>
      <c r="I21" s="81">
        <f t="shared" si="33"/>
        <v>58320</v>
      </c>
    </row>
    <row r="22" spans="1:9" ht="14.25" customHeight="1" x14ac:dyDescent="0.2">
      <c r="A22" s="80" t="s">
        <v>63</v>
      </c>
      <c r="B22" s="80" t="s">
        <v>172</v>
      </c>
      <c r="C22" s="81">
        <v>15000</v>
      </c>
      <c r="D22" s="81">
        <f t="shared" ref="D22:F22" si="34">C22*1.8</f>
        <v>27000</v>
      </c>
      <c r="E22" s="81">
        <f t="shared" si="34"/>
        <v>48600</v>
      </c>
      <c r="F22" s="81">
        <f t="shared" si="34"/>
        <v>87480</v>
      </c>
      <c r="G22" s="81">
        <f t="shared" ref="G22:I22" si="35">F22</f>
        <v>87480</v>
      </c>
      <c r="H22" s="81">
        <f t="shared" si="35"/>
        <v>87480</v>
      </c>
      <c r="I22" s="81">
        <f t="shared" si="35"/>
        <v>87480</v>
      </c>
    </row>
    <row r="23" spans="1:9" ht="14.25" customHeight="1" x14ac:dyDescent="0.2">
      <c r="A23" s="80" t="s">
        <v>63</v>
      </c>
      <c r="B23" s="80" t="s">
        <v>173</v>
      </c>
      <c r="C23" s="81">
        <v>20000</v>
      </c>
      <c r="D23" s="81">
        <f t="shared" ref="D23:F23" si="36">C23*1.8</f>
        <v>36000</v>
      </c>
      <c r="E23" s="81">
        <f t="shared" si="36"/>
        <v>64800</v>
      </c>
      <c r="F23" s="81">
        <f t="shared" si="36"/>
        <v>116640</v>
      </c>
      <c r="G23" s="81">
        <f t="shared" ref="G23:I23" si="37">F23</f>
        <v>116640</v>
      </c>
      <c r="H23" s="81">
        <f t="shared" si="37"/>
        <v>116640</v>
      </c>
      <c r="I23" s="81">
        <f t="shared" si="37"/>
        <v>116640</v>
      </c>
    </row>
    <row r="24" spans="1:9" ht="14.25" customHeight="1" x14ac:dyDescent="0.2">
      <c r="A24" s="80" t="s">
        <v>63</v>
      </c>
      <c r="B24" s="80" t="s">
        <v>174</v>
      </c>
      <c r="C24" s="81">
        <v>10000</v>
      </c>
      <c r="D24" s="81">
        <f t="shared" ref="D24:F24" si="38">C24*1.8</f>
        <v>18000</v>
      </c>
      <c r="E24" s="81">
        <f t="shared" si="38"/>
        <v>32400</v>
      </c>
      <c r="F24" s="81">
        <f t="shared" si="38"/>
        <v>58320</v>
      </c>
      <c r="G24" s="81">
        <f t="shared" ref="G24:I24" si="39">F24</f>
        <v>58320</v>
      </c>
      <c r="H24" s="81">
        <f t="shared" si="39"/>
        <v>58320</v>
      </c>
      <c r="I24" s="81">
        <f t="shared" si="39"/>
        <v>58320</v>
      </c>
    </row>
    <row r="25" spans="1:9" ht="14.25" customHeight="1" x14ac:dyDescent="0.2">
      <c r="A25" s="80" t="s">
        <v>63</v>
      </c>
      <c r="B25" s="80" t="s">
        <v>175</v>
      </c>
      <c r="C25" s="81">
        <v>10000</v>
      </c>
      <c r="D25" s="81">
        <f t="shared" ref="D25:F25" si="40">C25*1.8</f>
        <v>18000</v>
      </c>
      <c r="E25" s="81">
        <f t="shared" si="40"/>
        <v>32400</v>
      </c>
      <c r="F25" s="81">
        <f t="shared" si="40"/>
        <v>58320</v>
      </c>
      <c r="G25" s="81">
        <f t="shared" ref="G25:I25" si="41">F25</f>
        <v>58320</v>
      </c>
      <c r="H25" s="81">
        <f t="shared" si="41"/>
        <v>58320</v>
      </c>
      <c r="I25" s="81">
        <f t="shared" si="41"/>
        <v>58320</v>
      </c>
    </row>
    <row r="26" spans="1:9" ht="14.25" customHeight="1" x14ac:dyDescent="0.2">
      <c r="A26" s="80" t="s">
        <v>63</v>
      </c>
      <c r="B26" s="80" t="s">
        <v>176</v>
      </c>
      <c r="C26" s="81">
        <v>15000</v>
      </c>
      <c r="D26" s="81">
        <f t="shared" ref="D26:F26" si="42">C26*1.8</f>
        <v>27000</v>
      </c>
      <c r="E26" s="81">
        <f t="shared" si="42"/>
        <v>48600</v>
      </c>
      <c r="F26" s="81">
        <f t="shared" si="42"/>
        <v>87480</v>
      </c>
      <c r="G26" s="81">
        <f t="shared" ref="G26:I26" si="43">F26</f>
        <v>87480</v>
      </c>
      <c r="H26" s="81">
        <f t="shared" si="43"/>
        <v>87480</v>
      </c>
      <c r="I26" s="81">
        <f t="shared" si="43"/>
        <v>87480</v>
      </c>
    </row>
    <row r="27" spans="1:9" ht="14.25" customHeight="1" x14ac:dyDescent="0.2">
      <c r="A27" s="80" t="s">
        <v>64</v>
      </c>
      <c r="B27" s="80" t="s">
        <v>177</v>
      </c>
      <c r="C27" s="81">
        <v>40000</v>
      </c>
      <c r="D27" s="81">
        <f t="shared" ref="D27:F27" si="44">C27*1.8</f>
        <v>72000</v>
      </c>
      <c r="E27" s="81">
        <f t="shared" si="44"/>
        <v>129600</v>
      </c>
      <c r="F27" s="81">
        <f t="shared" si="44"/>
        <v>233280</v>
      </c>
      <c r="G27" s="81">
        <f t="shared" ref="G27:I27" si="45">F27</f>
        <v>233280</v>
      </c>
      <c r="H27" s="81">
        <f t="shared" si="45"/>
        <v>233280</v>
      </c>
      <c r="I27" s="81">
        <f t="shared" si="45"/>
        <v>233280</v>
      </c>
    </row>
    <row r="28" spans="1:9" ht="14.25" customHeight="1" x14ac:dyDescent="0.2">
      <c r="A28" s="80" t="s">
        <v>64</v>
      </c>
      <c r="B28" s="80" t="s">
        <v>178</v>
      </c>
      <c r="C28" s="81">
        <v>45000</v>
      </c>
      <c r="D28" s="81">
        <f t="shared" ref="D28:F28" si="46">C28*1.8</f>
        <v>81000</v>
      </c>
      <c r="E28" s="81">
        <f t="shared" si="46"/>
        <v>145800</v>
      </c>
      <c r="F28" s="81">
        <f t="shared" si="46"/>
        <v>262440</v>
      </c>
      <c r="G28" s="81">
        <f t="shared" ref="G28:I28" si="47">F28</f>
        <v>262440</v>
      </c>
      <c r="H28" s="81">
        <f t="shared" si="47"/>
        <v>262440</v>
      </c>
      <c r="I28" s="81">
        <f t="shared" si="47"/>
        <v>262440</v>
      </c>
    </row>
    <row r="29" spans="1:9" ht="14.25" customHeight="1" x14ac:dyDescent="0.2">
      <c r="A29" s="80" t="s">
        <v>64</v>
      </c>
      <c r="B29" s="80" t="s">
        <v>179</v>
      </c>
      <c r="C29" s="81">
        <v>30000</v>
      </c>
      <c r="D29" s="81">
        <f t="shared" ref="D29:F29" si="48">C29*1.8</f>
        <v>54000</v>
      </c>
      <c r="E29" s="81">
        <f t="shared" si="48"/>
        <v>97200</v>
      </c>
      <c r="F29" s="81">
        <f t="shared" si="48"/>
        <v>174960</v>
      </c>
      <c r="G29" s="81">
        <f t="shared" ref="G29:I29" si="49">F29</f>
        <v>174960</v>
      </c>
      <c r="H29" s="81">
        <f t="shared" si="49"/>
        <v>174960</v>
      </c>
      <c r="I29" s="81">
        <f t="shared" si="49"/>
        <v>174960</v>
      </c>
    </row>
    <row r="30" spans="1:9" ht="14.25" customHeight="1" x14ac:dyDescent="0.2">
      <c r="A30" s="80" t="s">
        <v>64</v>
      </c>
      <c r="B30" s="80" t="s">
        <v>180</v>
      </c>
      <c r="C30" s="81">
        <v>50000</v>
      </c>
      <c r="D30" s="81">
        <f t="shared" ref="D30:F30" si="50">C30*1.8</f>
        <v>90000</v>
      </c>
      <c r="E30" s="81">
        <f t="shared" si="50"/>
        <v>162000</v>
      </c>
      <c r="F30" s="81">
        <f t="shared" si="50"/>
        <v>291600</v>
      </c>
      <c r="G30" s="81">
        <f t="shared" ref="G30:I30" si="51">F30</f>
        <v>291600</v>
      </c>
      <c r="H30" s="81">
        <f t="shared" si="51"/>
        <v>291600</v>
      </c>
      <c r="I30" s="81">
        <f t="shared" si="51"/>
        <v>291600</v>
      </c>
    </row>
    <row r="31" spans="1:9" ht="14.25" customHeight="1" x14ac:dyDescent="0.2">
      <c r="A31" s="80" t="s">
        <v>64</v>
      </c>
      <c r="B31" s="80" t="s">
        <v>181</v>
      </c>
      <c r="C31" s="81">
        <v>10000</v>
      </c>
      <c r="D31" s="81">
        <f t="shared" ref="D31:F31" si="52">C31*1.8</f>
        <v>18000</v>
      </c>
      <c r="E31" s="81">
        <f t="shared" si="52"/>
        <v>32400</v>
      </c>
      <c r="F31" s="81">
        <f t="shared" si="52"/>
        <v>58320</v>
      </c>
      <c r="G31" s="81">
        <f t="shared" ref="G31:I31" si="53">F31</f>
        <v>58320</v>
      </c>
      <c r="H31" s="81">
        <f t="shared" si="53"/>
        <v>58320</v>
      </c>
      <c r="I31" s="81">
        <f t="shared" si="53"/>
        <v>58320</v>
      </c>
    </row>
    <row r="32" spans="1:9" ht="14.25" customHeight="1" x14ac:dyDescent="0.2">
      <c r="A32" s="80" t="s">
        <v>64</v>
      </c>
      <c r="B32" s="80" t="s">
        <v>182</v>
      </c>
      <c r="C32" s="81">
        <v>45000</v>
      </c>
      <c r="D32" s="81">
        <f t="shared" ref="D32:F32" si="54">C32*1.8</f>
        <v>81000</v>
      </c>
      <c r="E32" s="81">
        <f t="shared" si="54"/>
        <v>145800</v>
      </c>
      <c r="F32" s="81">
        <f t="shared" si="54"/>
        <v>262440</v>
      </c>
      <c r="G32" s="81">
        <f t="shared" ref="G32:I32" si="55">F32</f>
        <v>262440</v>
      </c>
      <c r="H32" s="81">
        <f t="shared" si="55"/>
        <v>262440</v>
      </c>
      <c r="I32" s="81">
        <f t="shared" si="55"/>
        <v>262440</v>
      </c>
    </row>
    <row r="33" spans="1:9" ht="14.25" customHeight="1" x14ac:dyDescent="0.2">
      <c r="A33" s="80" t="s">
        <v>65</v>
      </c>
      <c r="B33" s="80" t="s">
        <v>183</v>
      </c>
      <c r="C33" s="81">
        <v>25000</v>
      </c>
      <c r="D33" s="81">
        <f t="shared" ref="D33:F33" si="56">C33*1.8</f>
        <v>45000</v>
      </c>
      <c r="E33" s="81">
        <f t="shared" si="56"/>
        <v>81000</v>
      </c>
      <c r="F33" s="81">
        <f t="shared" si="56"/>
        <v>145800</v>
      </c>
      <c r="G33" s="81">
        <f t="shared" ref="G33:I33" si="57">F33</f>
        <v>145800</v>
      </c>
      <c r="H33" s="81">
        <f t="shared" si="57"/>
        <v>145800</v>
      </c>
      <c r="I33" s="81">
        <f t="shared" si="57"/>
        <v>145800</v>
      </c>
    </row>
    <row r="34" spans="1:9" ht="14.25" customHeight="1" x14ac:dyDescent="0.2">
      <c r="A34" s="80" t="s">
        <v>65</v>
      </c>
      <c r="B34" s="80" t="s">
        <v>184</v>
      </c>
      <c r="C34" s="81">
        <v>40000</v>
      </c>
      <c r="D34" s="81">
        <f t="shared" ref="D34:F34" si="58">C34*1.8</f>
        <v>72000</v>
      </c>
      <c r="E34" s="81">
        <f t="shared" si="58"/>
        <v>129600</v>
      </c>
      <c r="F34" s="81">
        <f t="shared" si="58"/>
        <v>233280</v>
      </c>
      <c r="G34" s="81">
        <f t="shared" ref="G34:I34" si="59">F34</f>
        <v>233280</v>
      </c>
      <c r="H34" s="81">
        <f t="shared" si="59"/>
        <v>233280</v>
      </c>
      <c r="I34" s="81">
        <f t="shared" si="59"/>
        <v>233280</v>
      </c>
    </row>
    <row r="35" spans="1:9" ht="14.25" customHeight="1" x14ac:dyDescent="0.2">
      <c r="A35" s="80" t="s">
        <v>65</v>
      </c>
      <c r="B35" s="80" t="s">
        <v>185</v>
      </c>
      <c r="C35" s="81">
        <v>20000</v>
      </c>
      <c r="D35" s="81">
        <f t="shared" ref="D35:F35" si="60">C35*1.8</f>
        <v>36000</v>
      </c>
      <c r="E35" s="81">
        <f t="shared" si="60"/>
        <v>64800</v>
      </c>
      <c r="F35" s="81">
        <f t="shared" si="60"/>
        <v>116640</v>
      </c>
      <c r="G35" s="81">
        <f t="shared" ref="G35:I35" si="61">F35</f>
        <v>116640</v>
      </c>
      <c r="H35" s="81">
        <f t="shared" si="61"/>
        <v>116640</v>
      </c>
      <c r="I35" s="81">
        <f t="shared" si="61"/>
        <v>116640</v>
      </c>
    </row>
    <row r="36" spans="1:9" ht="14.25" customHeight="1" x14ac:dyDescent="0.2">
      <c r="A36" s="80" t="s">
        <v>65</v>
      </c>
      <c r="B36" s="80" t="s">
        <v>186</v>
      </c>
      <c r="C36" s="81">
        <v>30000</v>
      </c>
      <c r="D36" s="81">
        <f t="shared" ref="D36:F36" si="62">C36*1.8</f>
        <v>54000</v>
      </c>
      <c r="E36" s="81">
        <f t="shared" si="62"/>
        <v>97200</v>
      </c>
      <c r="F36" s="81">
        <f t="shared" si="62"/>
        <v>174960</v>
      </c>
      <c r="G36" s="81">
        <f t="shared" ref="G36:I36" si="63">F36</f>
        <v>174960</v>
      </c>
      <c r="H36" s="81">
        <f t="shared" si="63"/>
        <v>174960</v>
      </c>
      <c r="I36" s="81">
        <f t="shared" si="63"/>
        <v>174960</v>
      </c>
    </row>
    <row r="37" spans="1:9" ht="14.25" customHeight="1" x14ac:dyDescent="0.2">
      <c r="A37" s="80" t="s">
        <v>65</v>
      </c>
      <c r="B37" s="80" t="s">
        <v>187</v>
      </c>
      <c r="C37" s="81">
        <v>35000</v>
      </c>
      <c r="D37" s="81">
        <f t="shared" ref="D37:F37" si="64">C37*1.8</f>
        <v>63000</v>
      </c>
      <c r="E37" s="81">
        <f t="shared" si="64"/>
        <v>113400</v>
      </c>
      <c r="F37" s="81">
        <f t="shared" si="64"/>
        <v>204120</v>
      </c>
      <c r="G37" s="81">
        <f t="shared" ref="G37:I37" si="65">F37</f>
        <v>204120</v>
      </c>
      <c r="H37" s="81">
        <f t="shared" si="65"/>
        <v>204120</v>
      </c>
      <c r="I37" s="81">
        <f t="shared" si="65"/>
        <v>204120</v>
      </c>
    </row>
    <row r="38" spans="1:9" ht="14.25" customHeight="1" x14ac:dyDescent="0.2">
      <c r="A38" s="80" t="s">
        <v>65</v>
      </c>
      <c r="B38" s="80" t="s">
        <v>188</v>
      </c>
      <c r="C38" s="81">
        <v>30000</v>
      </c>
      <c r="D38" s="81">
        <f t="shared" ref="D38:F38" si="66">C38*1.8</f>
        <v>54000</v>
      </c>
      <c r="E38" s="81">
        <f t="shared" si="66"/>
        <v>97200</v>
      </c>
      <c r="F38" s="81">
        <f t="shared" si="66"/>
        <v>174960</v>
      </c>
      <c r="G38" s="81">
        <f t="shared" ref="G38:I38" si="67">F38</f>
        <v>174960</v>
      </c>
      <c r="H38" s="81">
        <f t="shared" si="67"/>
        <v>174960</v>
      </c>
      <c r="I38" s="81">
        <f t="shared" si="67"/>
        <v>174960</v>
      </c>
    </row>
    <row r="39" spans="1:9" ht="14.25" customHeight="1" x14ac:dyDescent="0.2">
      <c r="A39" s="80" t="s">
        <v>65</v>
      </c>
      <c r="B39" s="80" t="s">
        <v>189</v>
      </c>
      <c r="C39" s="81">
        <v>40000</v>
      </c>
      <c r="D39" s="81">
        <f t="shared" ref="D39:F39" si="68">C39*1.8</f>
        <v>72000</v>
      </c>
      <c r="E39" s="81">
        <f t="shared" si="68"/>
        <v>129600</v>
      </c>
      <c r="F39" s="81">
        <f t="shared" si="68"/>
        <v>233280</v>
      </c>
      <c r="G39" s="81">
        <f t="shared" ref="G39:I39" si="69">F39</f>
        <v>233280</v>
      </c>
      <c r="H39" s="81">
        <f t="shared" si="69"/>
        <v>233280</v>
      </c>
      <c r="I39" s="81">
        <f t="shared" si="69"/>
        <v>233280</v>
      </c>
    </row>
    <row r="40" spans="1:9" ht="14.25" customHeight="1" x14ac:dyDescent="0.2">
      <c r="A40" s="80" t="s">
        <v>65</v>
      </c>
      <c r="B40" s="80" t="s">
        <v>190</v>
      </c>
      <c r="C40" s="81">
        <v>40000</v>
      </c>
      <c r="D40" s="81">
        <f t="shared" ref="D40:F40" si="70">C40*1.8</f>
        <v>72000</v>
      </c>
      <c r="E40" s="81">
        <f t="shared" si="70"/>
        <v>129600</v>
      </c>
      <c r="F40" s="81">
        <f t="shared" si="70"/>
        <v>233280</v>
      </c>
      <c r="G40" s="81">
        <f t="shared" ref="G40:I40" si="71">F40</f>
        <v>233280</v>
      </c>
      <c r="H40" s="81">
        <f t="shared" si="71"/>
        <v>233280</v>
      </c>
      <c r="I40" s="81">
        <f t="shared" si="71"/>
        <v>233280</v>
      </c>
    </row>
    <row r="41" spans="1:9" ht="14.25" customHeight="1" x14ac:dyDescent="0.2">
      <c r="A41" s="80" t="s">
        <v>65</v>
      </c>
      <c r="B41" s="80" t="s">
        <v>191</v>
      </c>
      <c r="C41" s="81">
        <v>15000</v>
      </c>
      <c r="D41" s="81">
        <f t="shared" ref="D41:F41" si="72">C41*1.8</f>
        <v>27000</v>
      </c>
      <c r="E41" s="81">
        <f t="shared" si="72"/>
        <v>48600</v>
      </c>
      <c r="F41" s="81">
        <f t="shared" si="72"/>
        <v>87480</v>
      </c>
      <c r="G41" s="81">
        <f t="shared" ref="G41:I41" si="73">F41</f>
        <v>87480</v>
      </c>
      <c r="H41" s="81">
        <f t="shared" si="73"/>
        <v>87480</v>
      </c>
      <c r="I41" s="81">
        <f t="shared" si="73"/>
        <v>87480</v>
      </c>
    </row>
    <row r="42" spans="1:9" ht="14.25" customHeight="1" x14ac:dyDescent="0.2">
      <c r="A42" s="80" t="s">
        <v>65</v>
      </c>
      <c r="B42" s="80" t="s">
        <v>192</v>
      </c>
      <c r="C42" s="81">
        <v>10000</v>
      </c>
      <c r="D42" s="81">
        <f t="shared" ref="D42:F42" si="74">C42*1.8</f>
        <v>18000</v>
      </c>
      <c r="E42" s="81">
        <f t="shared" si="74"/>
        <v>32400</v>
      </c>
      <c r="F42" s="81">
        <f t="shared" si="74"/>
        <v>58320</v>
      </c>
      <c r="G42" s="81">
        <f t="shared" ref="G42:I42" si="75">F42</f>
        <v>58320</v>
      </c>
      <c r="H42" s="81">
        <f t="shared" si="75"/>
        <v>58320</v>
      </c>
      <c r="I42" s="81">
        <f t="shared" si="75"/>
        <v>58320</v>
      </c>
    </row>
    <row r="43" spans="1:9" ht="14.25" customHeight="1" x14ac:dyDescent="0.2">
      <c r="A43" s="80" t="s">
        <v>65</v>
      </c>
      <c r="B43" s="80" t="s">
        <v>193</v>
      </c>
      <c r="C43" s="81">
        <v>20000</v>
      </c>
      <c r="D43" s="81">
        <f t="shared" ref="D43:F43" si="76">C43*1.8</f>
        <v>36000</v>
      </c>
      <c r="E43" s="81">
        <f t="shared" si="76"/>
        <v>64800</v>
      </c>
      <c r="F43" s="81">
        <f t="shared" si="76"/>
        <v>116640</v>
      </c>
      <c r="G43" s="81">
        <f t="shared" ref="G43:I43" si="77">F43</f>
        <v>116640</v>
      </c>
      <c r="H43" s="81">
        <f t="shared" si="77"/>
        <v>116640</v>
      </c>
      <c r="I43" s="81">
        <f t="shared" si="77"/>
        <v>116640</v>
      </c>
    </row>
    <row r="44" spans="1:9" ht="14.25" customHeight="1" x14ac:dyDescent="0.2">
      <c r="A44" s="80" t="s">
        <v>65</v>
      </c>
      <c r="B44" s="80" t="s">
        <v>194</v>
      </c>
      <c r="C44" s="81">
        <v>30000</v>
      </c>
      <c r="D44" s="81">
        <f t="shared" ref="D44:F44" si="78">C44*1.8</f>
        <v>54000</v>
      </c>
      <c r="E44" s="81">
        <f t="shared" si="78"/>
        <v>97200</v>
      </c>
      <c r="F44" s="81">
        <f t="shared" si="78"/>
        <v>174960</v>
      </c>
      <c r="G44" s="81">
        <f t="shared" ref="G44:I44" si="79">F44</f>
        <v>174960</v>
      </c>
      <c r="H44" s="81">
        <f t="shared" si="79"/>
        <v>174960</v>
      </c>
      <c r="I44" s="81">
        <f t="shared" si="79"/>
        <v>174960</v>
      </c>
    </row>
    <row r="45" spans="1:9" ht="14.25" customHeight="1" x14ac:dyDescent="0.2">
      <c r="A45" s="80" t="s">
        <v>65</v>
      </c>
      <c r="B45" s="80" t="s">
        <v>195</v>
      </c>
      <c r="C45" s="81">
        <v>15000</v>
      </c>
      <c r="D45" s="81">
        <f t="shared" ref="D45:F45" si="80">C45*1.8</f>
        <v>27000</v>
      </c>
      <c r="E45" s="81">
        <f t="shared" si="80"/>
        <v>48600</v>
      </c>
      <c r="F45" s="81">
        <f t="shared" si="80"/>
        <v>87480</v>
      </c>
      <c r="G45" s="81">
        <f t="shared" ref="G45:I45" si="81">F45</f>
        <v>87480</v>
      </c>
      <c r="H45" s="81">
        <f t="shared" si="81"/>
        <v>87480</v>
      </c>
      <c r="I45" s="81">
        <f t="shared" si="81"/>
        <v>87480</v>
      </c>
    </row>
    <row r="46" spans="1:9" ht="14.25" customHeight="1" x14ac:dyDescent="0.2">
      <c r="A46" s="80" t="s">
        <v>66</v>
      </c>
      <c r="B46" s="80" t="s">
        <v>196</v>
      </c>
      <c r="C46" s="81">
        <v>20000</v>
      </c>
      <c r="D46" s="81">
        <f t="shared" ref="D46:F46" si="82">C46*1.8</f>
        <v>36000</v>
      </c>
      <c r="E46" s="81">
        <f t="shared" si="82"/>
        <v>64800</v>
      </c>
      <c r="F46" s="81">
        <f t="shared" si="82"/>
        <v>116640</v>
      </c>
      <c r="G46" s="81">
        <f t="shared" ref="G46:I46" si="83">F46</f>
        <v>116640</v>
      </c>
      <c r="H46" s="81">
        <f t="shared" si="83"/>
        <v>116640</v>
      </c>
      <c r="I46" s="81">
        <f t="shared" si="83"/>
        <v>116640</v>
      </c>
    </row>
    <row r="47" spans="1:9" ht="14.25" customHeight="1" x14ac:dyDescent="0.2">
      <c r="A47" s="80" t="s">
        <v>66</v>
      </c>
      <c r="B47" s="80" t="s">
        <v>197</v>
      </c>
      <c r="C47" s="81">
        <v>30000</v>
      </c>
      <c r="D47" s="81">
        <f t="shared" ref="D47:F47" si="84">C47*1.8</f>
        <v>54000</v>
      </c>
      <c r="E47" s="81">
        <f t="shared" si="84"/>
        <v>97200</v>
      </c>
      <c r="F47" s="81">
        <f t="shared" si="84"/>
        <v>174960</v>
      </c>
      <c r="G47" s="81">
        <f t="shared" ref="G47:I47" si="85">F47</f>
        <v>174960</v>
      </c>
      <c r="H47" s="81">
        <f t="shared" si="85"/>
        <v>174960</v>
      </c>
      <c r="I47" s="81">
        <f t="shared" si="85"/>
        <v>174960</v>
      </c>
    </row>
    <row r="48" spans="1:9" ht="14.25" customHeight="1" x14ac:dyDescent="0.2">
      <c r="A48" s="80" t="s">
        <v>66</v>
      </c>
      <c r="B48" s="80" t="s">
        <v>198</v>
      </c>
      <c r="C48" s="81">
        <v>30000</v>
      </c>
      <c r="D48" s="81">
        <f t="shared" ref="D48:F48" si="86">C48*1.8</f>
        <v>54000</v>
      </c>
      <c r="E48" s="81">
        <f t="shared" si="86"/>
        <v>97200</v>
      </c>
      <c r="F48" s="81">
        <f t="shared" si="86"/>
        <v>174960</v>
      </c>
      <c r="G48" s="81">
        <f t="shared" ref="G48:I48" si="87">F48</f>
        <v>174960</v>
      </c>
      <c r="H48" s="81">
        <f t="shared" si="87"/>
        <v>174960</v>
      </c>
      <c r="I48" s="81">
        <f t="shared" si="87"/>
        <v>174960</v>
      </c>
    </row>
    <row r="49" spans="1:9" ht="14.25" customHeight="1" x14ac:dyDescent="0.2">
      <c r="A49" s="80" t="s">
        <v>66</v>
      </c>
      <c r="B49" s="80" t="s">
        <v>199</v>
      </c>
      <c r="C49" s="81">
        <v>5000</v>
      </c>
      <c r="D49" s="81">
        <f t="shared" ref="D49:F49" si="88">C49*1.8</f>
        <v>9000</v>
      </c>
      <c r="E49" s="81">
        <f t="shared" si="88"/>
        <v>16200</v>
      </c>
      <c r="F49" s="81">
        <f t="shared" si="88"/>
        <v>29160</v>
      </c>
      <c r="G49" s="81">
        <f t="shared" ref="G49:I49" si="89">F49</f>
        <v>29160</v>
      </c>
      <c r="H49" s="81">
        <f t="shared" si="89"/>
        <v>29160</v>
      </c>
      <c r="I49" s="81">
        <f t="shared" si="89"/>
        <v>29160</v>
      </c>
    </row>
    <row r="50" spans="1:9" ht="14.25" customHeight="1" x14ac:dyDescent="0.2">
      <c r="A50" s="80" t="s">
        <v>66</v>
      </c>
      <c r="B50" s="80" t="s">
        <v>200</v>
      </c>
      <c r="C50" s="81">
        <v>15000</v>
      </c>
      <c r="D50" s="81">
        <f t="shared" ref="D50:F50" si="90">C50*1.8</f>
        <v>27000</v>
      </c>
      <c r="E50" s="81">
        <f t="shared" si="90"/>
        <v>48600</v>
      </c>
      <c r="F50" s="81">
        <f t="shared" si="90"/>
        <v>87480</v>
      </c>
      <c r="G50" s="81">
        <f t="shared" ref="G50:I50" si="91">F50</f>
        <v>87480</v>
      </c>
      <c r="H50" s="81">
        <f t="shared" si="91"/>
        <v>87480</v>
      </c>
      <c r="I50" s="81">
        <f t="shared" si="91"/>
        <v>87480</v>
      </c>
    </row>
    <row r="51" spans="1:9" ht="14.25" customHeight="1" x14ac:dyDescent="0.2">
      <c r="A51" s="80" t="s">
        <v>66</v>
      </c>
      <c r="B51" s="80" t="s">
        <v>201</v>
      </c>
      <c r="C51" s="81">
        <v>30000</v>
      </c>
      <c r="D51" s="81">
        <f t="shared" ref="D51:F51" si="92">C51*1.8</f>
        <v>54000</v>
      </c>
      <c r="E51" s="81">
        <f t="shared" si="92"/>
        <v>97200</v>
      </c>
      <c r="F51" s="81">
        <f t="shared" si="92"/>
        <v>174960</v>
      </c>
      <c r="G51" s="81">
        <f t="shared" ref="G51:I51" si="93">F51</f>
        <v>174960</v>
      </c>
      <c r="H51" s="81">
        <f t="shared" si="93"/>
        <v>174960</v>
      </c>
      <c r="I51" s="81">
        <f t="shared" si="93"/>
        <v>174960</v>
      </c>
    </row>
    <row r="52" spans="1:9" ht="14.25" customHeight="1" x14ac:dyDescent="0.2">
      <c r="A52" s="80" t="s">
        <v>66</v>
      </c>
      <c r="B52" s="80" t="s">
        <v>202</v>
      </c>
      <c r="C52" s="81">
        <v>45000</v>
      </c>
      <c r="D52" s="81">
        <f t="shared" ref="D52:F52" si="94">C52*1.8</f>
        <v>81000</v>
      </c>
      <c r="E52" s="81">
        <f t="shared" si="94"/>
        <v>145800</v>
      </c>
      <c r="F52" s="81">
        <f t="shared" si="94"/>
        <v>262440</v>
      </c>
      <c r="G52" s="81">
        <f t="shared" ref="G52:I52" si="95">F52</f>
        <v>262440</v>
      </c>
      <c r="H52" s="81">
        <f t="shared" si="95"/>
        <v>262440</v>
      </c>
      <c r="I52" s="81">
        <f t="shared" si="95"/>
        <v>262440</v>
      </c>
    </row>
    <row r="53" spans="1:9" ht="14.25" customHeight="1" x14ac:dyDescent="0.2"/>
    <row r="54" spans="1:9" ht="14.25" customHeight="1" x14ac:dyDescent="0.2"/>
    <row r="55" spans="1:9" ht="14.25" customHeight="1" x14ac:dyDescent="0.2"/>
    <row r="56" spans="1:9" ht="14.25" customHeight="1" x14ac:dyDescent="0.2"/>
    <row r="57" spans="1:9" ht="14.25" customHeight="1" x14ac:dyDescent="0.2"/>
    <row r="58" spans="1:9" ht="14.25" customHeight="1" x14ac:dyDescent="0.2"/>
    <row r="59" spans="1:9" ht="14.25" customHeight="1" x14ac:dyDescent="0.2"/>
    <row r="60" spans="1:9" ht="14.25" customHeight="1" x14ac:dyDescent="0.2">
      <c r="A60" s="195" t="s">
        <v>203</v>
      </c>
      <c r="B60" s="195"/>
      <c r="C60" s="195"/>
      <c r="D60" s="195"/>
      <c r="E60" s="195"/>
      <c r="F60" s="195"/>
      <c r="G60" s="195"/>
    </row>
    <row r="61" spans="1:9" ht="14.25" customHeight="1" x14ac:dyDescent="0.2">
      <c r="A61" s="77" t="s">
        <v>55</v>
      </c>
      <c r="B61" s="77" t="s">
        <v>204</v>
      </c>
      <c r="C61" s="77" t="s">
        <v>4</v>
      </c>
      <c r="D61" s="77" t="s">
        <v>5</v>
      </c>
      <c r="E61" s="77" t="s">
        <v>6</v>
      </c>
      <c r="F61" s="78" t="s">
        <v>205</v>
      </c>
      <c r="G61" s="79" t="s">
        <v>215</v>
      </c>
    </row>
    <row r="62" spans="1:9" ht="14.25" customHeight="1" x14ac:dyDescent="0.2">
      <c r="A62" s="70" t="s">
        <v>19</v>
      </c>
      <c r="B62" s="71">
        <f>SUMIF(A5:A52,A62,C5:C52)</f>
        <v>320000</v>
      </c>
      <c r="C62" s="71">
        <f>B62*(1+Parameters!B4)</f>
        <v>576000</v>
      </c>
      <c r="D62" s="71">
        <f>C62*(1+Parameters!B4)</f>
        <v>1036800</v>
      </c>
      <c r="E62" s="71">
        <f>D62*(1+Parameters!B4)</f>
        <v>1866240</v>
      </c>
      <c r="F62" s="72">
        <f t="shared" ref="F62:F67" si="96">C62+D62+E62</f>
        <v>3479040</v>
      </c>
      <c r="G62" s="73">
        <f>E62*1.1</f>
        <v>2052864.0000000002</v>
      </c>
    </row>
    <row r="63" spans="1:9" ht="14.25" customHeight="1" x14ac:dyDescent="0.2">
      <c r="A63" s="70" t="s">
        <v>62</v>
      </c>
      <c r="B63" s="71">
        <f>SUMIF(A5:A52,A63,C5:C52)</f>
        <v>200000</v>
      </c>
      <c r="C63" s="71">
        <f>B63*(1+Parameters!B4)</f>
        <v>360000</v>
      </c>
      <c r="D63" s="71">
        <f>C63*(1+Parameters!B4)</f>
        <v>648000</v>
      </c>
      <c r="E63" s="71">
        <f>D63*(1+Parameters!B4)</f>
        <v>1166400</v>
      </c>
      <c r="F63" s="72">
        <f t="shared" si="96"/>
        <v>2174400</v>
      </c>
      <c r="G63" s="73">
        <f t="shared" ref="G63:G67" si="97">E63*1.1</f>
        <v>1283040</v>
      </c>
    </row>
    <row r="64" spans="1:9" ht="14.25" customHeight="1" x14ac:dyDescent="0.2">
      <c r="A64" s="70" t="s">
        <v>63</v>
      </c>
      <c r="B64" s="71">
        <f>SUMIF(A5:A52,A64,C5:C52)</f>
        <v>160000</v>
      </c>
      <c r="C64" s="71">
        <f>B64*(1+Parameters!B4)</f>
        <v>288000</v>
      </c>
      <c r="D64" s="71">
        <f>C64*(1+Parameters!B4)</f>
        <v>518400</v>
      </c>
      <c r="E64" s="71">
        <f>D64*(1+Parameters!B4)</f>
        <v>933120</v>
      </c>
      <c r="F64" s="72">
        <f t="shared" si="96"/>
        <v>1739520</v>
      </c>
      <c r="G64" s="73">
        <f t="shared" si="97"/>
        <v>1026432.0000000001</v>
      </c>
    </row>
    <row r="65" spans="1:7" ht="14.25" customHeight="1" x14ac:dyDescent="0.2">
      <c r="A65" s="70" t="s">
        <v>64</v>
      </c>
      <c r="B65" s="71">
        <f>SUMIF(A5:A52,A65,C5:C52)</f>
        <v>220000</v>
      </c>
      <c r="C65" s="71">
        <f>B65*(1+Parameters!B4)</f>
        <v>396000</v>
      </c>
      <c r="D65" s="71">
        <f>C65*(1+Parameters!B4)</f>
        <v>712800</v>
      </c>
      <c r="E65" s="71">
        <f>D65*(1+Parameters!B4)</f>
        <v>1283040</v>
      </c>
      <c r="F65" s="72">
        <f t="shared" si="96"/>
        <v>2391840</v>
      </c>
      <c r="G65" s="73">
        <f t="shared" si="97"/>
        <v>1411344</v>
      </c>
    </row>
    <row r="66" spans="1:7" ht="14.25" customHeight="1" x14ac:dyDescent="0.2">
      <c r="A66" s="70" t="s">
        <v>65</v>
      </c>
      <c r="B66" s="71">
        <f>SUMIF(A5:A52,A66,C5:C52)</f>
        <v>350000</v>
      </c>
      <c r="C66" s="71">
        <f>B66*(1+Parameters!B4)</f>
        <v>630000</v>
      </c>
      <c r="D66" s="71">
        <f>C66*(1+Parameters!B4)</f>
        <v>1134000</v>
      </c>
      <c r="E66" s="71">
        <f>D66*(1+Parameters!B4)</f>
        <v>2041200</v>
      </c>
      <c r="F66" s="72">
        <f t="shared" si="96"/>
        <v>3805200</v>
      </c>
      <c r="G66" s="73">
        <f t="shared" si="97"/>
        <v>2245320</v>
      </c>
    </row>
    <row r="67" spans="1:7" ht="14.25" customHeight="1" x14ac:dyDescent="0.2">
      <c r="A67" s="70" t="s">
        <v>66</v>
      </c>
      <c r="B67" s="71">
        <f>SUMIF(A5:A52,A67,C5:C52)</f>
        <v>175000</v>
      </c>
      <c r="C67" s="71">
        <f>B67*(1+Parameters!B4)</f>
        <v>315000</v>
      </c>
      <c r="D67" s="71">
        <f>C67*(1+Parameters!B4)</f>
        <v>567000</v>
      </c>
      <c r="E67" s="71">
        <f>D67*(1+Parameters!B4)</f>
        <v>1020600</v>
      </c>
      <c r="F67" s="72">
        <f t="shared" si="96"/>
        <v>1902600</v>
      </c>
      <c r="G67" s="73">
        <f t="shared" si="97"/>
        <v>1122660</v>
      </c>
    </row>
    <row r="68" spans="1:7" ht="14.25" customHeight="1" x14ac:dyDescent="0.2">
      <c r="A68" s="70" t="s">
        <v>206</v>
      </c>
      <c r="B68" s="74">
        <f t="shared" ref="B68:F68" si="98">SUM(B62:B67)</f>
        <v>1425000</v>
      </c>
      <c r="C68" s="74">
        <f t="shared" si="98"/>
        <v>2565000</v>
      </c>
      <c r="D68" s="74">
        <f t="shared" si="98"/>
        <v>4617000</v>
      </c>
      <c r="E68" s="74">
        <f t="shared" si="98"/>
        <v>8310600</v>
      </c>
      <c r="F68" s="75">
        <f t="shared" si="98"/>
        <v>15492600</v>
      </c>
      <c r="G68" s="76">
        <f>SUM(G62:G67)</f>
        <v>9141660</v>
      </c>
    </row>
    <row r="69" spans="1:7" ht="14.25" customHeight="1" x14ac:dyDescent="0.2"/>
    <row r="70" spans="1:7" ht="14.25" customHeight="1" x14ac:dyDescent="0.2">
      <c r="A70" s="195" t="s">
        <v>207</v>
      </c>
      <c r="B70" s="195"/>
      <c r="C70" s="195"/>
      <c r="D70" s="195"/>
      <c r="E70" s="195"/>
      <c r="F70" s="195"/>
      <c r="G70" s="195"/>
    </row>
    <row r="71" spans="1:7" ht="14.25" customHeight="1" x14ac:dyDescent="0.2">
      <c r="A71" s="77" t="s">
        <v>55</v>
      </c>
      <c r="B71" s="77" t="s">
        <v>204</v>
      </c>
      <c r="C71" s="77" t="s">
        <v>4</v>
      </c>
      <c r="D71" s="77" t="s">
        <v>5</v>
      </c>
      <c r="E71" s="77" t="s">
        <v>6</v>
      </c>
      <c r="F71" s="77" t="s">
        <v>205</v>
      </c>
      <c r="G71" s="79" t="s">
        <v>215</v>
      </c>
    </row>
    <row r="72" spans="1:7" ht="14.25" customHeight="1" x14ac:dyDescent="0.2">
      <c r="A72" s="70" t="s">
        <v>19</v>
      </c>
      <c r="B72" s="71">
        <f>B62/Parameters!$B$5</f>
        <v>80000</v>
      </c>
      <c r="C72" s="71">
        <f>C62/Parameters!$B$5</f>
        <v>144000</v>
      </c>
      <c r="D72" s="71">
        <f>D62/Parameters!$B$5</f>
        <v>259200</v>
      </c>
      <c r="E72" s="71">
        <f>E62/Parameters!$B$5</f>
        <v>466560</v>
      </c>
      <c r="F72" s="72">
        <f>F62/Parameters!$B$5</f>
        <v>869760</v>
      </c>
      <c r="G72" s="73">
        <f>E72*1.1</f>
        <v>513216.00000000006</v>
      </c>
    </row>
    <row r="73" spans="1:7" ht="14.25" customHeight="1" x14ac:dyDescent="0.2">
      <c r="A73" s="70" t="s">
        <v>62</v>
      </c>
      <c r="B73" s="71">
        <f>B63/Parameters!$B$5</f>
        <v>50000</v>
      </c>
      <c r="C73" s="71">
        <f>C63/Parameters!$B$5</f>
        <v>90000</v>
      </c>
      <c r="D73" s="71">
        <f>D63/Parameters!$B$5</f>
        <v>162000</v>
      </c>
      <c r="E73" s="71">
        <f>E63/Parameters!$B$5</f>
        <v>291600</v>
      </c>
      <c r="F73" s="72">
        <f>F63/Parameters!$B$5</f>
        <v>543600</v>
      </c>
      <c r="G73" s="73">
        <f t="shared" ref="G73:G77" si="99">E73*1.1</f>
        <v>320760</v>
      </c>
    </row>
    <row r="74" spans="1:7" ht="14.25" customHeight="1" x14ac:dyDescent="0.2">
      <c r="A74" s="70" t="s">
        <v>63</v>
      </c>
      <c r="B74" s="71">
        <f>B64/Parameters!$B$5</f>
        <v>40000</v>
      </c>
      <c r="C74" s="71">
        <f>C64/Parameters!$B$5</f>
        <v>72000</v>
      </c>
      <c r="D74" s="71">
        <f>D64/Parameters!$B$5</f>
        <v>129600</v>
      </c>
      <c r="E74" s="71">
        <f>E64/Parameters!$B$5</f>
        <v>233280</v>
      </c>
      <c r="F74" s="72">
        <f>F64/Parameters!$B$5</f>
        <v>434880</v>
      </c>
      <c r="G74" s="73">
        <f t="shared" si="99"/>
        <v>256608.00000000003</v>
      </c>
    </row>
    <row r="75" spans="1:7" ht="14.25" customHeight="1" x14ac:dyDescent="0.2">
      <c r="A75" s="70" t="s">
        <v>64</v>
      </c>
      <c r="B75" s="71">
        <f>B65/Parameters!$B$5</f>
        <v>55000</v>
      </c>
      <c r="C75" s="71">
        <f>C65/Parameters!$B$5</f>
        <v>99000</v>
      </c>
      <c r="D75" s="71">
        <f>D65/Parameters!$B$5</f>
        <v>178200</v>
      </c>
      <c r="E75" s="71">
        <f>E65/Parameters!$B$5</f>
        <v>320760</v>
      </c>
      <c r="F75" s="72">
        <f>F65/Parameters!$B$5</f>
        <v>597960</v>
      </c>
      <c r="G75" s="73">
        <f t="shared" si="99"/>
        <v>352836</v>
      </c>
    </row>
    <row r="76" spans="1:7" ht="14.25" customHeight="1" x14ac:dyDescent="0.2">
      <c r="A76" s="70" t="s">
        <v>65</v>
      </c>
      <c r="B76" s="71">
        <f>B66/Parameters!$B$5</f>
        <v>87500</v>
      </c>
      <c r="C76" s="71">
        <f>C66/Parameters!$B$5</f>
        <v>157500</v>
      </c>
      <c r="D76" s="71">
        <f>D66/Parameters!$B$5</f>
        <v>283500</v>
      </c>
      <c r="E76" s="71">
        <f>E66/Parameters!$B$5</f>
        <v>510300</v>
      </c>
      <c r="F76" s="72">
        <f>F66/Parameters!$B$5</f>
        <v>951300</v>
      </c>
      <c r="G76" s="73">
        <f t="shared" si="99"/>
        <v>561330</v>
      </c>
    </row>
    <row r="77" spans="1:7" ht="14.25" customHeight="1" x14ac:dyDescent="0.2">
      <c r="A77" s="70" t="s">
        <v>66</v>
      </c>
      <c r="B77" s="71">
        <f>B67/Parameters!$B$5</f>
        <v>43750</v>
      </c>
      <c r="C77" s="71">
        <f>C67/Parameters!$B$5</f>
        <v>78750</v>
      </c>
      <c r="D77" s="71">
        <f>D67/Parameters!$B$5</f>
        <v>141750</v>
      </c>
      <c r="E77" s="71">
        <f>E67/Parameters!$B$5</f>
        <v>255150</v>
      </c>
      <c r="F77" s="72">
        <f>F67/Parameters!$B$5</f>
        <v>475650</v>
      </c>
      <c r="G77" s="73">
        <f t="shared" si="99"/>
        <v>280665</v>
      </c>
    </row>
    <row r="78" spans="1:7" ht="14.25" customHeight="1" x14ac:dyDescent="0.2">
      <c r="A78" s="70" t="s">
        <v>206</v>
      </c>
      <c r="B78" s="74">
        <f t="shared" ref="B78:F78" si="100">SUM(B72:B77)</f>
        <v>356250</v>
      </c>
      <c r="C78" s="74">
        <f t="shared" si="100"/>
        <v>641250</v>
      </c>
      <c r="D78" s="74">
        <f t="shared" si="100"/>
        <v>1154250</v>
      </c>
      <c r="E78" s="74">
        <f t="shared" si="100"/>
        <v>2077650</v>
      </c>
      <c r="F78" s="75">
        <f t="shared" si="100"/>
        <v>3873150</v>
      </c>
      <c r="G78" s="76">
        <f>SUM(G72:G77)</f>
        <v>2285415</v>
      </c>
    </row>
    <row r="79" spans="1:7" ht="14.25" customHeight="1" x14ac:dyDescent="0.2"/>
    <row r="80" spans="1:7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A1:J1"/>
    <mergeCell ref="A3:I3"/>
    <mergeCell ref="A60:G60"/>
    <mergeCell ref="A70:G7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>
    <row r="1" spans="1:1" ht="15" customHeight="1" x14ac:dyDescent="0.2">
      <c r="A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0"/>
  <sheetViews>
    <sheetView workbookViewId="0"/>
  </sheetViews>
  <sheetFormatPr baseColWidth="10" defaultColWidth="14.5" defaultRowHeight="15" customHeight="1" x14ac:dyDescent="0.2"/>
  <sheetData>
    <row r="1" spans="1:2" ht="15" customHeight="1" x14ac:dyDescent="0.2">
      <c r="A1" s="21" t="e">
        <f>ModelSheet=Q5_Model_international!A:Z</f>
        <v>#NAME?</v>
      </c>
      <c r="B1" s="21" t="e">
        <f>ModelSheet=Q2_Model_Baseline!A:Z</f>
        <v>#NAME?</v>
      </c>
    </row>
    <row r="2" spans="1:2" ht="15" customHeight="1" x14ac:dyDescent="0.2">
      <c r="A2" s="21" t="e">
        <f>OpenSolver_AdjNum=5</f>
        <v>#NAME?</v>
      </c>
      <c r="B2" s="21" t="e">
        <f>OpenSolver_AdjNum=6</f>
        <v>#NAME?</v>
      </c>
    </row>
    <row r="3" spans="1:2" ht="15" customHeight="1" x14ac:dyDescent="0.2">
      <c r="A3" s="21" t="e">
        <f t="shared" ref="A3:B3" si="0">OpenSolver_ChosenSolver=NeosCBC</f>
        <v>#NAME?</v>
      </c>
      <c r="B3" s="21" t="e">
        <f t="shared" si="0"/>
        <v>#NAME?</v>
      </c>
    </row>
    <row r="4" spans="1:2" ht="15" customHeight="1" x14ac:dyDescent="0.2">
      <c r="A4" s="21" t="e">
        <f t="shared" ref="A4:B4" si="1">OpenSolver_FastBuild=0</f>
        <v>#NAME?</v>
      </c>
      <c r="B4" s="21" t="e">
        <f t="shared" si="1"/>
        <v>#NAME?</v>
      </c>
    </row>
    <row r="5" spans="1:2" ht="15" customHeight="1" x14ac:dyDescent="0.2">
      <c r="A5" s="21" t="e">
        <f t="shared" ref="A5:B5" si="2">OpenSolver_LinearityCheck=1</f>
        <v>#NAME?</v>
      </c>
      <c r="B5" s="21" t="e">
        <f t="shared" si="2"/>
        <v>#NAME?</v>
      </c>
    </row>
    <row r="6" spans="1:2" ht="15" customHeight="1" x14ac:dyDescent="0.2">
      <c r="A6" s="21" t="e">
        <f>solver_adj=Q5_Model_international!C7:E16</f>
        <v>#NAME?</v>
      </c>
      <c r="B6" s="21" t="e">
        <f>solver_adj=Q2_Model_Baseline!B21:G25</f>
        <v>#NAME?</v>
      </c>
    </row>
    <row r="7" spans="1:2" ht="15" customHeight="1" x14ac:dyDescent="0.2">
      <c r="A7" s="21" t="e">
        <f>solver_adj1=Q5_Model_international!B21:G35</f>
        <v>#NAME?</v>
      </c>
      <c r="B7" s="21" t="e">
        <f>solver_adj1=Q2_Model_Baseline!B26:G30</f>
        <v>#NAME?</v>
      </c>
    </row>
    <row r="8" spans="1:2" ht="15" customHeight="1" x14ac:dyDescent="0.2">
      <c r="A8" s="21" t="e">
        <f>solver_adj2=Q5_Model_international!B39:D48</f>
        <v>#NAME?</v>
      </c>
      <c r="B8" s="21" t="e">
        <f>solver_adj2=Q2_Model_Baseline!B31:G35</f>
        <v>#NAME?</v>
      </c>
    </row>
    <row r="9" spans="1:2" ht="15" customHeight="1" x14ac:dyDescent="0.2">
      <c r="A9" s="21" t="e">
        <f>solver_adj3=Q5_Model_international!B52:D54</f>
        <v>#NAME?</v>
      </c>
      <c r="B9" s="21" t="e">
        <f>solver_adj3=Q2_Model_Baseline!B51:F53</f>
        <v>#NAME?</v>
      </c>
    </row>
    <row r="10" spans="1:2" ht="15" customHeight="1" x14ac:dyDescent="0.2">
      <c r="A10" s="21" t="e">
        <f>solver_adj4=Q5_Model_international!B58:F66</f>
        <v>#NAME?</v>
      </c>
      <c r="B10" s="21" t="e">
        <f>solver_adj4=Q2_Model_Baseline!C7:E16</f>
        <v>#NAME?</v>
      </c>
    </row>
    <row r="11" spans="1:2" ht="15" customHeight="1" x14ac:dyDescent="0.2">
      <c r="A11" s="21" t="e">
        <f>solver_lhs1=Q5_Model_international!C7:E16</f>
        <v>#NAME?</v>
      </c>
      <c r="B11" s="21" t="e">
        <f>solver_adj5=Q2_Model_Baseline!B39:D48</f>
        <v>#NAME?</v>
      </c>
    </row>
    <row r="12" spans="1:2" ht="15" customHeight="1" x14ac:dyDescent="0.2">
      <c r="A12" s="21" t="e">
        <f>solver_lhs2=Q5_Model_international!B52:D54</f>
        <v>#NAME?</v>
      </c>
      <c r="B12" s="21" t="e">
        <f>solver_lhs1=Q2_Model_Baseline!B61:D66</f>
        <v>#NAME?</v>
      </c>
    </row>
    <row r="13" spans="1:2" ht="15" customHeight="1" x14ac:dyDescent="0.2">
      <c r="A13" s="21" t="e">
        <f>solver_lhs3=Q5_Model_international!B72:D77</f>
        <v>#NAME?</v>
      </c>
      <c r="B13" s="21" t="e">
        <f>solver_lhs2=Q2_Model_Baseline!B70:D74</f>
        <v>#NAME?</v>
      </c>
    </row>
    <row r="14" spans="1:2" ht="15" customHeight="1" x14ac:dyDescent="0.2">
      <c r="A14" s="21" t="e">
        <f>solver_lhs4=Q5_Model_international!B81:D85</f>
        <v>#NAME?</v>
      </c>
      <c r="B14" s="21" t="e">
        <f>solver_lhs3=Q2_Model_Baseline!B78:D82</f>
        <v>#NAME?</v>
      </c>
    </row>
    <row r="15" spans="1:2" ht="15" customHeight="1" x14ac:dyDescent="0.2">
      <c r="A15" s="21" t="e">
        <f>solver_lhs5=Q5_Model_international!B89:D93</f>
        <v>#NAME?</v>
      </c>
      <c r="B15" s="21" t="e">
        <f>solver_lhs4=Q2_Model_Baseline!B87:D96</f>
        <v>#NAME?</v>
      </c>
    </row>
    <row r="16" spans="1:2" ht="15" customHeight="1" x14ac:dyDescent="0.2">
      <c r="A16" s="21" t="e">
        <f>solver_lhs6=Q5_Model_international!B98:D107</f>
        <v>#NAME?</v>
      </c>
      <c r="B16" s="21" t="e">
        <f>solver_lhs5=Q2_Model_Baseline!B100:D100</f>
        <v>#NAME?</v>
      </c>
    </row>
    <row r="17" spans="1:2" ht="15" customHeight="1" x14ac:dyDescent="0.2">
      <c r="A17" s="21" t="e">
        <f>solver_lhs7=Q5_Model_international!B111:D113</f>
        <v>#NAME?</v>
      </c>
      <c r="B17" s="21" t="e">
        <f>solver_lhs6=Q2_Model_Baseline!B104:D108</f>
        <v>#NAME?</v>
      </c>
    </row>
    <row r="18" spans="1:2" ht="15" customHeight="1" x14ac:dyDescent="0.2">
      <c r="A18" s="21" t="e">
        <f>solver_lhs8=Q5_Model_international!B117:D121</f>
        <v>#NAME?</v>
      </c>
      <c r="B18" s="21" t="e">
        <f>solver_neg=1</f>
        <v>#NAME?</v>
      </c>
    </row>
    <row r="19" spans="1:2" ht="15" customHeight="1" x14ac:dyDescent="0.2">
      <c r="A19" s="21" t="e">
        <f>solver_neg=1</f>
        <v>#NAME?</v>
      </c>
      <c r="B19" s="21" t="e">
        <f>solver_num=6</f>
        <v>#NAME?</v>
      </c>
    </row>
    <row r="20" spans="1:2" ht="15" customHeight="1" x14ac:dyDescent="0.2">
      <c r="A20" s="21" t="e">
        <f>solver_num=8</f>
        <v>#NAME?</v>
      </c>
      <c r="B20" s="21" t="e">
        <f>solver_opt=Q2_Model_Baseline!E124</f>
        <v>#NAME?</v>
      </c>
    </row>
    <row r="21" spans="1:2" ht="15" customHeight="1" x14ac:dyDescent="0.2">
      <c r="A21" s="21" t="e">
        <f>solver_opt=Q5_Model_international!E135</f>
        <v>#NAME?</v>
      </c>
      <c r="B21" s="21" t="e">
        <f>solver_rel1=2</f>
        <v>#NAME?</v>
      </c>
    </row>
    <row r="22" spans="1:2" ht="15" customHeight="1" x14ac:dyDescent="0.2">
      <c r="A22" s="21" t="e">
        <f>solver_rel1=5</f>
        <v>#NAME?</v>
      </c>
      <c r="B22" s="21" t="e">
        <f>solver_rel2=1</f>
        <v>#NAME?</v>
      </c>
    </row>
    <row r="23" spans="1:2" ht="15" customHeight="1" x14ac:dyDescent="0.2">
      <c r="A23" s="21" t="e">
        <f>solver_rel2=5</f>
        <v>#NAME?</v>
      </c>
      <c r="B23" s="21" t="e">
        <f>solver_rel3=1</f>
        <v>#NAME?</v>
      </c>
    </row>
    <row r="24" spans="1:2" ht="15" customHeight="1" x14ac:dyDescent="0.2">
      <c r="A24" s="21" t="e">
        <f>solver_rel3=2</f>
        <v>#NAME?</v>
      </c>
      <c r="B24" s="21" t="e">
        <f>solver_rel4=1</f>
        <v>#NAME?</v>
      </c>
    </row>
    <row r="25" spans="1:2" ht="15" customHeight="1" x14ac:dyDescent="0.2">
      <c r="A25" s="21" t="e">
        <f>solver_rel4=1</f>
        <v>#NAME?</v>
      </c>
      <c r="B25" s="21" t="e">
        <f>solver_rel5=1</f>
        <v>#NAME?</v>
      </c>
    </row>
    <row r="26" spans="1:2" ht="15" customHeight="1" x14ac:dyDescent="0.2">
      <c r="A26" s="21" t="e">
        <f>solver_rel5=1</f>
        <v>#NAME?</v>
      </c>
      <c r="B26" s="21" t="e">
        <f>solver_rel6=2</f>
        <v>#NAME?</v>
      </c>
    </row>
    <row r="27" spans="1:2" ht="15" customHeight="1" x14ac:dyDescent="0.2">
      <c r="A27" s="21" t="e">
        <f>solver_rel6=1</f>
        <v>#NAME?</v>
      </c>
      <c r="B27" s="21" t="e">
        <f>solver_rhs1=Q2_Model_Baseline!E61:G66</f>
        <v>#NAME?</v>
      </c>
    </row>
    <row r="28" spans="1:2" ht="15" customHeight="1" x14ac:dyDescent="0.2">
      <c r="A28" s="21" t="e">
        <f>solver_rel7=1</f>
        <v>#NAME?</v>
      </c>
      <c r="B28" s="21" t="e">
        <f>solver_rhs2=Q2_Model_Baseline!E70:G74</f>
        <v>#NAME?</v>
      </c>
    </row>
    <row r="29" spans="1:2" ht="15" customHeight="1" x14ac:dyDescent="0.2">
      <c r="A29" s="21" t="e">
        <f>solver_rel8=2</f>
        <v>#NAME?</v>
      </c>
      <c r="B29" s="21" t="e">
        <f>_xlfn.SINGLE(solver_rhs3)=_xlfn.SINGLE(Q2_Model_Baseline!#REF!)</f>
        <v>#NAME?</v>
      </c>
    </row>
    <row r="30" spans="1:2" ht="15" customHeight="1" x14ac:dyDescent="0.2">
      <c r="A30" s="21" t="e">
        <f>solver_rhs1=binary</f>
        <v>#NAME?</v>
      </c>
      <c r="B30" s="21" t="e">
        <f>solver_rhs4=Q2_Model_Baseline!B39:D48</f>
        <v>#NAME?</v>
      </c>
    </row>
    <row r="31" spans="1:2" ht="15" customHeight="1" x14ac:dyDescent="0.2">
      <c r="A31" s="21" t="e">
        <f>solver_rhs2=binary</f>
        <v>#NAME?</v>
      </c>
      <c r="B31" s="21" t="e">
        <f>solver_rhs5=Q2_Model_Baseline!E100:G100</f>
        <v>#NAME?</v>
      </c>
    </row>
    <row r="32" spans="1:2" ht="15" customHeight="1" x14ac:dyDescent="0.2">
      <c r="A32" s="21" t="e">
        <f>solver_rhs3=Q5_Model_international!E72:G77</f>
        <v>#NAME?</v>
      </c>
      <c r="B32" s="21" t="e">
        <f>solver_rhs6=Q2_Model_Baseline!E104:G108</f>
        <v>#NAME?</v>
      </c>
    </row>
    <row r="33" spans="1:2" x14ac:dyDescent="0.2">
      <c r="A33" s="21" t="e">
        <f>solver_rhs4=Q5_Model_international!E81:G85</f>
        <v>#NAME?</v>
      </c>
      <c r="B33" s="21" t="e">
        <f>solver_sho=1</f>
        <v>#NAME?</v>
      </c>
    </row>
    <row r="34" spans="1:2" x14ac:dyDescent="0.2">
      <c r="A34" s="21" t="e">
        <f>solver_rhs5=Q5_Model_international!I89:K93</f>
        <v>#NAME?</v>
      </c>
      <c r="B34" s="21" t="e">
        <f>solver_typ=2</f>
        <v>#NAME?</v>
      </c>
    </row>
    <row r="35" spans="1:2" x14ac:dyDescent="0.2">
      <c r="A35" s="21" t="e">
        <f>solver_rhs6=Q5_Model_international!B39:D48</f>
        <v>#NAME?</v>
      </c>
      <c r="B35" s="21" t="e">
        <f>solver_val=0</f>
        <v>#NAME?</v>
      </c>
    </row>
    <row r="36" spans="1:2" x14ac:dyDescent="0.2">
      <c r="A36" s="21" t="e">
        <f>solver_rhs7=Q5_Model_international!E111:G113</f>
        <v>#NAME?</v>
      </c>
    </row>
    <row r="37" spans="1:2" x14ac:dyDescent="0.2">
      <c r="A37" s="21" t="e">
        <f>solver_rhs8=Q5_Model_international!E117:G121</f>
        <v>#NAME?</v>
      </c>
    </row>
    <row r="38" spans="1:2" x14ac:dyDescent="0.2">
      <c r="A38" s="21" t="e">
        <f>solver_sho=1</f>
        <v>#NAME?</v>
      </c>
    </row>
    <row r="39" spans="1:2" x14ac:dyDescent="0.2">
      <c r="A39" s="21" t="e">
        <f>solver_typ=2</f>
        <v>#NAME?</v>
      </c>
    </row>
    <row r="40" spans="1:2" x14ac:dyDescent="0.2">
      <c r="A40" s="21" t="e">
        <f>solver_val=0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topLeftCell="A22" zoomScale="73" workbookViewId="0">
      <selection activeCell="A61" sqref="A61:H63"/>
    </sheetView>
  </sheetViews>
  <sheetFormatPr baseColWidth="10" defaultColWidth="14.5" defaultRowHeight="15" customHeight="1" x14ac:dyDescent="0.2"/>
  <cols>
    <col min="1" max="1" width="33.1640625" customWidth="1"/>
    <col min="2" max="3" width="14" customWidth="1"/>
    <col min="4" max="4" width="16" customWidth="1"/>
    <col min="5" max="7" width="14" customWidth="1"/>
    <col min="8" max="26" width="8.6640625" customWidth="1"/>
  </cols>
  <sheetData>
    <row r="1" spans="1:7" ht="27.75" customHeight="1" x14ac:dyDescent="0.2">
      <c r="A1" s="189" t="s">
        <v>112</v>
      </c>
      <c r="B1" s="190"/>
      <c r="C1" s="190"/>
      <c r="D1" s="190"/>
      <c r="E1" s="190"/>
      <c r="F1" s="190"/>
      <c r="G1" s="191"/>
    </row>
    <row r="2" spans="1:7" ht="14.25" customHeight="1" x14ac:dyDescent="0.2"/>
    <row r="3" spans="1:7" ht="15" customHeight="1" x14ac:dyDescent="0.2">
      <c r="A3" s="199" t="s">
        <v>113</v>
      </c>
      <c r="B3" s="190"/>
      <c r="C3" s="190"/>
      <c r="D3" s="190"/>
      <c r="E3" s="190"/>
      <c r="F3" s="190"/>
      <c r="G3" s="191"/>
    </row>
    <row r="4" spans="1:7" ht="14.25" customHeight="1" x14ac:dyDescent="0.2">
      <c r="A4" s="91" t="s">
        <v>114</v>
      </c>
      <c r="B4" s="85">
        <v>0.8</v>
      </c>
    </row>
    <row r="5" spans="1:7" ht="14.25" customHeight="1" x14ac:dyDescent="0.2">
      <c r="A5" s="91" t="s">
        <v>115</v>
      </c>
      <c r="B5" s="86">
        <v>4</v>
      </c>
      <c r="D5" s="200" t="s">
        <v>225</v>
      </c>
      <c r="E5" s="201"/>
    </row>
    <row r="6" spans="1:7" ht="14.25" customHeight="1" x14ac:dyDescent="0.2">
      <c r="A6" s="91" t="s">
        <v>116</v>
      </c>
      <c r="B6" s="87">
        <v>14</v>
      </c>
      <c r="D6" s="92" t="s">
        <v>226</v>
      </c>
      <c r="E6" s="64">
        <f>0.8</f>
        <v>0.8</v>
      </c>
    </row>
    <row r="7" spans="1:7" ht="14.25" customHeight="1" x14ac:dyDescent="0.2">
      <c r="A7" s="91" t="s">
        <v>117</v>
      </c>
      <c r="B7" s="87">
        <v>10</v>
      </c>
      <c r="C7" s="21" t="s">
        <v>118</v>
      </c>
      <c r="D7" s="92" t="s">
        <v>227</v>
      </c>
      <c r="E7" s="64">
        <v>8</v>
      </c>
    </row>
    <row r="8" spans="1:7" ht="14.25" customHeight="1" x14ac:dyDescent="0.2">
      <c r="A8" s="91" t="s">
        <v>119</v>
      </c>
      <c r="B8" s="88">
        <v>30000</v>
      </c>
      <c r="D8" s="92" t="s">
        <v>228</v>
      </c>
      <c r="E8" s="64">
        <v>0.2</v>
      </c>
    </row>
    <row r="9" spans="1:7" ht="14.25" customHeight="1" x14ac:dyDescent="0.2">
      <c r="A9" s="91" t="s">
        <v>120</v>
      </c>
      <c r="B9" s="88">
        <v>475000</v>
      </c>
      <c r="D9" s="92" t="s">
        <v>229</v>
      </c>
      <c r="E9" s="64">
        <v>10</v>
      </c>
    </row>
    <row r="10" spans="1:7" ht="14.25" customHeight="1" x14ac:dyDescent="0.2">
      <c r="A10" s="91" t="s">
        <v>121</v>
      </c>
      <c r="B10" s="89">
        <v>0.16500000000000001</v>
      </c>
      <c r="D10" s="92" t="s">
        <v>230</v>
      </c>
      <c r="E10" s="64">
        <f>E6*E7+E8*E9</f>
        <v>8.4</v>
      </c>
    </row>
    <row r="11" spans="1:7" ht="14.25" customHeight="1" x14ac:dyDescent="0.2">
      <c r="A11" s="91" t="s">
        <v>122</v>
      </c>
      <c r="B11" s="86">
        <v>3</v>
      </c>
    </row>
    <row r="12" spans="1:7" ht="14.25" customHeight="1" x14ac:dyDescent="0.2">
      <c r="A12" s="91" t="s">
        <v>123</v>
      </c>
      <c r="B12" s="90">
        <v>17000000</v>
      </c>
    </row>
    <row r="13" spans="1:7" ht="14.25" customHeight="1" x14ac:dyDescent="0.2">
      <c r="A13" s="92" t="s">
        <v>124</v>
      </c>
      <c r="B13" s="93" t="s">
        <v>125</v>
      </c>
    </row>
    <row r="14" spans="1:7" ht="14.25" customHeight="1" x14ac:dyDescent="0.2">
      <c r="A14" s="92" t="s">
        <v>126</v>
      </c>
      <c r="B14" s="93" t="s">
        <v>127</v>
      </c>
    </row>
    <row r="15" spans="1:7" ht="14.25" customHeight="1" x14ac:dyDescent="0.2"/>
    <row r="16" spans="1:7" ht="14.25" customHeight="1" x14ac:dyDescent="0.2"/>
    <row r="17" spans="1:7" ht="14.25" customHeight="1" x14ac:dyDescent="0.2"/>
    <row r="18" spans="1:7" ht="15" customHeight="1" x14ac:dyDescent="0.2">
      <c r="A18" s="199" t="s">
        <v>128</v>
      </c>
      <c r="B18" s="190"/>
      <c r="C18" s="190"/>
      <c r="D18" s="190"/>
      <c r="E18" s="190"/>
      <c r="F18" s="190"/>
      <c r="G18" s="191"/>
    </row>
    <row r="19" spans="1:7" ht="31.5" customHeight="1" x14ac:dyDescent="0.2">
      <c r="A19" s="94" t="s">
        <v>129</v>
      </c>
      <c r="B19" s="94" t="s">
        <v>130</v>
      </c>
      <c r="C19" s="94" t="s">
        <v>131</v>
      </c>
      <c r="D19" s="94" t="s">
        <v>132</v>
      </c>
      <c r="E19" s="94" t="s">
        <v>133</v>
      </c>
      <c r="F19" s="94" t="s">
        <v>134</v>
      </c>
      <c r="G19" s="94" t="s">
        <v>135</v>
      </c>
    </row>
    <row r="20" spans="1:7" ht="14.25" customHeight="1" x14ac:dyDescent="0.2">
      <c r="A20" s="96" t="s">
        <v>48</v>
      </c>
      <c r="B20" s="97">
        <v>300000</v>
      </c>
      <c r="C20" s="98">
        <v>0.2</v>
      </c>
      <c r="D20" s="99">
        <v>2000000</v>
      </c>
      <c r="E20" s="97">
        <v>500000</v>
      </c>
      <c r="F20" s="98">
        <v>0.2</v>
      </c>
      <c r="G20" s="99">
        <v>4000000</v>
      </c>
    </row>
    <row r="21" spans="1:7" ht="14.25" customHeight="1" x14ac:dyDescent="0.2">
      <c r="A21" s="96" t="s">
        <v>49</v>
      </c>
      <c r="B21" s="97">
        <v>250000</v>
      </c>
      <c r="C21" s="98">
        <v>0.2</v>
      </c>
      <c r="D21" s="99">
        <v>2000000</v>
      </c>
      <c r="E21" s="97">
        <v>420000</v>
      </c>
      <c r="F21" s="98">
        <v>0.2</v>
      </c>
      <c r="G21" s="99">
        <v>4000000</v>
      </c>
    </row>
    <row r="22" spans="1:7" ht="14.25" customHeight="1" x14ac:dyDescent="0.2">
      <c r="A22" s="96" t="s">
        <v>50</v>
      </c>
      <c r="B22" s="97">
        <v>220000</v>
      </c>
      <c r="C22" s="98">
        <v>0.2</v>
      </c>
      <c r="D22" s="99">
        <v>2000000</v>
      </c>
      <c r="E22" s="97">
        <v>375000</v>
      </c>
      <c r="F22" s="98">
        <v>0.2</v>
      </c>
      <c r="G22" s="99">
        <v>4000000</v>
      </c>
    </row>
    <row r="23" spans="1:7" ht="14.25" customHeight="1" x14ac:dyDescent="0.2">
      <c r="A23" s="96" t="s">
        <v>51</v>
      </c>
      <c r="B23" s="97">
        <v>220000</v>
      </c>
      <c r="C23" s="98">
        <v>0.2</v>
      </c>
      <c r="D23" s="99">
        <v>2000000</v>
      </c>
      <c r="E23" s="97">
        <v>375000</v>
      </c>
      <c r="F23" s="98">
        <v>0.2</v>
      </c>
      <c r="G23" s="99">
        <v>4000000</v>
      </c>
    </row>
    <row r="24" spans="1:7" ht="14.25" customHeight="1" x14ac:dyDescent="0.2">
      <c r="A24" s="96" t="s">
        <v>52</v>
      </c>
      <c r="B24" s="97">
        <v>240000</v>
      </c>
      <c r="C24" s="98">
        <v>0.2</v>
      </c>
      <c r="D24" s="99">
        <v>2000000</v>
      </c>
      <c r="E24" s="97">
        <v>400000</v>
      </c>
      <c r="F24" s="98">
        <v>0.2</v>
      </c>
      <c r="G24" s="99">
        <v>4000000</v>
      </c>
    </row>
    <row r="25" spans="1:7" ht="14.25" customHeight="1" x14ac:dyDescent="0.2"/>
    <row r="26" spans="1:7" ht="15" customHeight="1" x14ac:dyDescent="0.2">
      <c r="A26" s="199" t="s">
        <v>136</v>
      </c>
      <c r="B26" s="190"/>
      <c r="C26" s="190"/>
      <c r="D26" s="190"/>
      <c r="E26" s="190"/>
      <c r="F26" s="190"/>
      <c r="G26" s="191"/>
    </row>
    <row r="27" spans="1:7" ht="27.75" customHeight="1" x14ac:dyDescent="0.2">
      <c r="A27" s="102" t="s">
        <v>137</v>
      </c>
      <c r="B27" s="95" t="s">
        <v>19</v>
      </c>
      <c r="C27" s="95" t="s">
        <v>62</v>
      </c>
      <c r="D27" s="95" t="s">
        <v>63</v>
      </c>
      <c r="E27" s="95" t="s">
        <v>64</v>
      </c>
      <c r="F27" s="95" t="s">
        <v>65</v>
      </c>
      <c r="G27" s="95" t="s">
        <v>66</v>
      </c>
    </row>
    <row r="28" spans="1:7" ht="14.25" customHeight="1" x14ac:dyDescent="0.2">
      <c r="A28" s="96" t="s">
        <v>48</v>
      </c>
      <c r="B28" s="100">
        <v>2</v>
      </c>
      <c r="C28" s="100">
        <v>2.5</v>
      </c>
      <c r="D28" s="100">
        <v>3.5</v>
      </c>
      <c r="E28" s="100">
        <v>4</v>
      </c>
      <c r="F28" s="100">
        <v>5</v>
      </c>
      <c r="G28" s="100">
        <v>5.5</v>
      </c>
    </row>
    <row r="29" spans="1:7" ht="14.25" customHeight="1" x14ac:dyDescent="0.2">
      <c r="A29" s="96" t="s">
        <v>49</v>
      </c>
      <c r="B29" s="100">
        <v>2.5</v>
      </c>
      <c r="C29" s="100">
        <v>2.5</v>
      </c>
      <c r="D29" s="100">
        <v>2.5</v>
      </c>
      <c r="E29" s="100">
        <v>3</v>
      </c>
      <c r="F29" s="100">
        <v>4</v>
      </c>
      <c r="G29" s="100">
        <v>4.5</v>
      </c>
    </row>
    <row r="30" spans="1:7" ht="14.25" customHeight="1" x14ac:dyDescent="0.2">
      <c r="A30" s="96" t="s">
        <v>50</v>
      </c>
      <c r="B30" s="100">
        <v>3</v>
      </c>
      <c r="C30" s="100">
        <v>3</v>
      </c>
      <c r="D30" s="100">
        <v>2.5</v>
      </c>
      <c r="E30" s="100">
        <v>2.5</v>
      </c>
      <c r="F30" s="100">
        <v>3</v>
      </c>
      <c r="G30" s="100">
        <v>3.5</v>
      </c>
    </row>
    <row r="31" spans="1:7" ht="14.25" customHeight="1" x14ac:dyDescent="0.2">
      <c r="A31" s="96" t="s">
        <v>51</v>
      </c>
      <c r="B31" s="100">
        <v>4</v>
      </c>
      <c r="C31" s="100">
        <v>4</v>
      </c>
      <c r="D31" s="100">
        <v>3</v>
      </c>
      <c r="E31" s="100">
        <v>2.5</v>
      </c>
      <c r="F31" s="100">
        <v>3</v>
      </c>
      <c r="G31" s="100">
        <v>2.5</v>
      </c>
    </row>
    <row r="32" spans="1:7" ht="14.25" customHeight="1" x14ac:dyDescent="0.2">
      <c r="A32" s="96" t="s">
        <v>52</v>
      </c>
      <c r="B32" s="100">
        <v>4.5</v>
      </c>
      <c r="C32" s="100">
        <v>5</v>
      </c>
      <c r="D32" s="100">
        <v>3</v>
      </c>
      <c r="E32" s="100">
        <v>3.5</v>
      </c>
      <c r="F32" s="100">
        <v>2.5</v>
      </c>
      <c r="G32" s="100">
        <v>4</v>
      </c>
    </row>
    <row r="33" spans="1:7" ht="14.25" customHeight="1" x14ac:dyDescent="0.2"/>
    <row r="34" spans="1:7" ht="15" customHeight="1" x14ac:dyDescent="0.2">
      <c r="A34" s="202" t="s">
        <v>138</v>
      </c>
      <c r="B34" s="202"/>
      <c r="C34" s="202"/>
      <c r="D34" s="202"/>
      <c r="E34" s="38"/>
      <c r="F34" s="38"/>
      <c r="G34" s="39"/>
    </row>
    <row r="35" spans="1:7" ht="27.75" customHeight="1" x14ac:dyDescent="0.2">
      <c r="A35" s="95" t="s">
        <v>139</v>
      </c>
      <c r="B35" s="95" t="s">
        <v>140</v>
      </c>
      <c r="C35" s="95" t="s">
        <v>141</v>
      </c>
      <c r="D35" s="95" t="s">
        <v>142</v>
      </c>
      <c r="E35" s="103"/>
      <c r="F35" s="103"/>
      <c r="G35" s="103"/>
    </row>
    <row r="36" spans="1:7" ht="14.25" customHeight="1" x14ac:dyDescent="0.2">
      <c r="A36" s="96" t="s">
        <v>44</v>
      </c>
      <c r="B36" s="97">
        <v>10000</v>
      </c>
      <c r="C36" s="98">
        <v>0.1</v>
      </c>
      <c r="D36" s="99">
        <v>3000000</v>
      </c>
    </row>
    <row r="37" spans="1:7" ht="14.25" customHeight="1" x14ac:dyDescent="0.2">
      <c r="A37" s="96" t="s">
        <v>45</v>
      </c>
      <c r="B37" s="97">
        <v>30000</v>
      </c>
      <c r="C37" s="98">
        <v>0.2</v>
      </c>
      <c r="D37" s="99">
        <v>6000000</v>
      </c>
    </row>
    <row r="38" spans="1:7" ht="14.25" customHeight="1" x14ac:dyDescent="0.2">
      <c r="A38" s="96" t="s">
        <v>46</v>
      </c>
      <c r="B38" s="97">
        <v>20000</v>
      </c>
      <c r="C38" s="98">
        <v>0.3</v>
      </c>
      <c r="D38" s="99">
        <v>17000000</v>
      </c>
    </row>
    <row r="39" spans="1:7" ht="14.25" customHeight="1" x14ac:dyDescent="0.2"/>
    <row r="40" spans="1:7" ht="15" customHeight="1" x14ac:dyDescent="0.2">
      <c r="A40" s="202" t="s">
        <v>143</v>
      </c>
      <c r="B40" s="202"/>
      <c r="C40" s="202"/>
      <c r="D40" s="202"/>
      <c r="E40" s="38"/>
      <c r="F40" s="38"/>
      <c r="G40" s="39"/>
    </row>
    <row r="41" spans="1:7" ht="14.25" customHeight="1" x14ac:dyDescent="0.2">
      <c r="A41" s="102" t="s">
        <v>144</v>
      </c>
      <c r="B41" s="95" t="s">
        <v>145</v>
      </c>
      <c r="C41" s="95" t="s">
        <v>146</v>
      </c>
      <c r="D41" s="95" t="s">
        <v>46</v>
      </c>
    </row>
    <row r="42" spans="1:7" ht="14.25" customHeight="1" x14ac:dyDescent="0.2">
      <c r="A42" s="96" t="s">
        <v>48</v>
      </c>
      <c r="B42" s="100">
        <v>5</v>
      </c>
      <c r="C42" s="100">
        <v>1.5</v>
      </c>
      <c r="D42" s="100">
        <v>3.5</v>
      </c>
    </row>
    <row r="43" spans="1:7" ht="14.25" customHeight="1" x14ac:dyDescent="0.2">
      <c r="A43" s="96" t="s">
        <v>49</v>
      </c>
      <c r="B43" s="100">
        <v>5.5</v>
      </c>
      <c r="C43" s="100">
        <v>3.5</v>
      </c>
      <c r="D43" s="100">
        <v>2.5</v>
      </c>
    </row>
    <row r="44" spans="1:7" ht="14.25" customHeight="1" x14ac:dyDescent="0.2">
      <c r="A44" s="96" t="s">
        <v>50</v>
      </c>
      <c r="B44" s="100">
        <v>7</v>
      </c>
      <c r="C44" s="100">
        <v>5</v>
      </c>
      <c r="D44" s="100">
        <v>2.5</v>
      </c>
    </row>
    <row r="45" spans="1:7" ht="14.25" customHeight="1" x14ac:dyDescent="0.2">
      <c r="A45" s="96" t="s">
        <v>51</v>
      </c>
      <c r="B45" s="100">
        <v>7</v>
      </c>
      <c r="C45" s="100">
        <v>5</v>
      </c>
      <c r="D45" s="100">
        <v>3</v>
      </c>
    </row>
    <row r="46" spans="1:7" ht="14.25" customHeight="1" x14ac:dyDescent="0.2">
      <c r="A46" s="96" t="s">
        <v>52</v>
      </c>
      <c r="B46" s="100">
        <v>8</v>
      </c>
      <c r="C46" s="100">
        <v>6</v>
      </c>
      <c r="D46" s="100">
        <v>3</v>
      </c>
    </row>
    <row r="47" spans="1:7" ht="14.25" customHeight="1" x14ac:dyDescent="0.2"/>
    <row r="48" spans="1:7" ht="14.25" customHeight="1" x14ac:dyDescent="0.2"/>
    <row r="49" spans="1:8" ht="14.25" customHeight="1" x14ac:dyDescent="0.2"/>
    <row r="50" spans="1:8" ht="14.25" customHeight="1" x14ac:dyDescent="0.2"/>
    <row r="51" spans="1:8" ht="14.25" customHeight="1" x14ac:dyDescent="0.2">
      <c r="A51" s="94" t="s">
        <v>147</v>
      </c>
      <c r="B51" s="101" t="s">
        <v>48</v>
      </c>
      <c r="C51" s="101" t="s">
        <v>49</v>
      </c>
      <c r="D51" s="101" t="s">
        <v>50</v>
      </c>
      <c r="E51" s="101" t="s">
        <v>51</v>
      </c>
      <c r="F51" s="101" t="s">
        <v>52</v>
      </c>
      <c r="G51" s="94" t="s">
        <v>25</v>
      </c>
      <c r="H51" s="94" t="s">
        <v>26</v>
      </c>
    </row>
    <row r="52" spans="1:8" ht="14.25" customHeight="1" x14ac:dyDescent="0.2">
      <c r="A52" s="196" t="s">
        <v>106</v>
      </c>
      <c r="B52" s="197"/>
      <c r="C52" s="197"/>
      <c r="D52" s="197"/>
      <c r="E52" s="197"/>
      <c r="F52" s="197"/>
      <c r="G52" s="197"/>
      <c r="H52" s="198"/>
    </row>
    <row r="53" spans="1:8" ht="14.25" customHeight="1" x14ac:dyDescent="0.2">
      <c r="A53" s="96" t="s">
        <v>44</v>
      </c>
      <c r="B53" s="100">
        <v>5</v>
      </c>
      <c r="C53" s="100">
        <v>5.5</v>
      </c>
      <c r="D53" s="100">
        <v>7</v>
      </c>
      <c r="E53" s="100">
        <v>7</v>
      </c>
      <c r="F53" s="100">
        <v>8</v>
      </c>
      <c r="G53" s="104">
        <f t="shared" ref="G53:G55" si="0">SUM(B53:F53)</f>
        <v>32.5</v>
      </c>
      <c r="H53" s="105" t="s">
        <v>4</v>
      </c>
    </row>
    <row r="54" spans="1:8" ht="14.25" customHeight="1" x14ac:dyDescent="0.2">
      <c r="A54" s="96" t="s">
        <v>45</v>
      </c>
      <c r="B54" s="100">
        <v>1.5</v>
      </c>
      <c r="C54" s="100">
        <v>3.5</v>
      </c>
      <c r="D54" s="100">
        <v>5</v>
      </c>
      <c r="E54" s="100">
        <v>5</v>
      </c>
      <c r="F54" s="100">
        <v>6</v>
      </c>
      <c r="G54" s="104">
        <f t="shared" si="0"/>
        <v>21</v>
      </c>
      <c r="H54" s="105" t="s">
        <v>4</v>
      </c>
    </row>
    <row r="55" spans="1:8" ht="14.25" customHeight="1" x14ac:dyDescent="0.2">
      <c r="A55" s="96" t="s">
        <v>46</v>
      </c>
      <c r="B55" s="100">
        <v>3.5</v>
      </c>
      <c r="C55" s="100">
        <v>2.5</v>
      </c>
      <c r="D55" s="100">
        <v>2.5</v>
      </c>
      <c r="E55" s="100">
        <v>3</v>
      </c>
      <c r="F55" s="100">
        <v>3</v>
      </c>
      <c r="G55" s="104">
        <f t="shared" si="0"/>
        <v>14.5</v>
      </c>
      <c r="H55" s="105" t="s">
        <v>4</v>
      </c>
    </row>
    <row r="56" spans="1:8" ht="14.25" customHeight="1" x14ac:dyDescent="0.2">
      <c r="A56" s="196" t="s">
        <v>107</v>
      </c>
      <c r="B56" s="197"/>
      <c r="C56" s="197"/>
      <c r="D56" s="197"/>
      <c r="E56" s="197"/>
      <c r="F56" s="197"/>
      <c r="G56" s="197"/>
      <c r="H56" s="198"/>
    </row>
    <row r="57" spans="1:8" ht="14.25" customHeight="1" x14ac:dyDescent="0.2">
      <c r="A57" s="96" t="s">
        <v>44</v>
      </c>
      <c r="B57" s="100">
        <v>5</v>
      </c>
      <c r="C57" s="100">
        <v>5.5</v>
      </c>
      <c r="D57" s="100">
        <v>7</v>
      </c>
      <c r="E57" s="100">
        <v>7</v>
      </c>
      <c r="F57" s="100">
        <v>8</v>
      </c>
      <c r="G57" s="104">
        <f t="shared" ref="G57:G59" si="1">SUM(B57:F57)</f>
        <v>32.5</v>
      </c>
      <c r="H57" s="105" t="s">
        <v>5</v>
      </c>
    </row>
    <row r="58" spans="1:8" ht="14.25" customHeight="1" x14ac:dyDescent="0.2">
      <c r="A58" s="96" t="s">
        <v>45</v>
      </c>
      <c r="B58" s="100">
        <v>1.5</v>
      </c>
      <c r="C58" s="100">
        <v>3.5</v>
      </c>
      <c r="D58" s="100">
        <v>5</v>
      </c>
      <c r="E58" s="100">
        <v>5</v>
      </c>
      <c r="F58" s="100">
        <v>6</v>
      </c>
      <c r="G58" s="104">
        <f t="shared" si="1"/>
        <v>21</v>
      </c>
      <c r="H58" s="105" t="s">
        <v>5</v>
      </c>
    </row>
    <row r="59" spans="1:8" ht="14.25" customHeight="1" x14ac:dyDescent="0.2">
      <c r="A59" s="96" t="s">
        <v>46</v>
      </c>
      <c r="B59" s="100">
        <v>3.5</v>
      </c>
      <c r="C59" s="100">
        <v>2.5</v>
      </c>
      <c r="D59" s="100">
        <v>2.5</v>
      </c>
      <c r="E59" s="100">
        <v>3</v>
      </c>
      <c r="F59" s="100">
        <v>3</v>
      </c>
      <c r="G59" s="104">
        <f t="shared" si="1"/>
        <v>14.5</v>
      </c>
      <c r="H59" s="105" t="s">
        <v>5</v>
      </c>
    </row>
    <row r="60" spans="1:8" ht="14.25" customHeight="1" x14ac:dyDescent="0.2">
      <c r="A60" s="196" t="s">
        <v>108</v>
      </c>
      <c r="B60" s="197"/>
      <c r="C60" s="197"/>
      <c r="D60" s="197"/>
      <c r="E60" s="197"/>
      <c r="F60" s="197"/>
      <c r="G60" s="197"/>
      <c r="H60" s="198"/>
    </row>
    <row r="61" spans="1:8" ht="14.25" customHeight="1" x14ac:dyDescent="0.2">
      <c r="A61" s="96" t="s">
        <v>44</v>
      </c>
      <c r="B61" s="100">
        <v>5</v>
      </c>
      <c r="C61" s="100">
        <v>5.5</v>
      </c>
      <c r="D61" s="100">
        <v>7</v>
      </c>
      <c r="E61" s="100">
        <v>7</v>
      </c>
      <c r="F61" s="100">
        <v>8</v>
      </c>
      <c r="G61" s="104">
        <f t="shared" ref="G61:G63" si="2">SUM(B61:F61)</f>
        <v>32.5</v>
      </c>
      <c r="H61" s="105" t="s">
        <v>6</v>
      </c>
    </row>
    <row r="62" spans="1:8" ht="14.25" customHeight="1" x14ac:dyDescent="0.2">
      <c r="A62" s="96" t="s">
        <v>45</v>
      </c>
      <c r="B62" s="100">
        <v>1.5</v>
      </c>
      <c r="C62" s="100">
        <v>3.5</v>
      </c>
      <c r="D62" s="100">
        <v>5</v>
      </c>
      <c r="E62" s="100">
        <v>5</v>
      </c>
      <c r="F62" s="100">
        <v>6</v>
      </c>
      <c r="G62" s="104">
        <f t="shared" si="2"/>
        <v>21</v>
      </c>
      <c r="H62" s="105" t="s">
        <v>6</v>
      </c>
    </row>
    <row r="63" spans="1:8" ht="14.25" customHeight="1" x14ac:dyDescent="0.2">
      <c r="A63" s="96" t="s">
        <v>46</v>
      </c>
      <c r="B63" s="100">
        <v>3.5</v>
      </c>
      <c r="C63" s="100">
        <v>2.5</v>
      </c>
      <c r="D63" s="100">
        <v>2.5</v>
      </c>
      <c r="E63" s="100">
        <v>3</v>
      </c>
      <c r="F63" s="100">
        <v>3</v>
      </c>
      <c r="G63" s="104">
        <f t="shared" si="2"/>
        <v>14.5</v>
      </c>
      <c r="H63" s="105" t="s">
        <v>6</v>
      </c>
    </row>
    <row r="64" spans="1:8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A56:H56"/>
    <mergeCell ref="A60:H60"/>
    <mergeCell ref="A1:G1"/>
    <mergeCell ref="A3:G3"/>
    <mergeCell ref="A18:G18"/>
    <mergeCell ref="A26:G26"/>
    <mergeCell ref="A52:H52"/>
    <mergeCell ref="D5:E5"/>
    <mergeCell ref="A34:D34"/>
    <mergeCell ref="A40:D40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B2C2-D954-534E-9120-E169F9C64F77}">
  <dimension ref="A1:O1018"/>
  <sheetViews>
    <sheetView topLeftCell="A53" zoomScale="78" workbookViewId="0">
      <selection activeCell="C20" sqref="C20"/>
    </sheetView>
  </sheetViews>
  <sheetFormatPr baseColWidth="10" defaultColWidth="14.5" defaultRowHeight="15" customHeight="1" x14ac:dyDescent="0.2"/>
  <cols>
    <col min="1" max="1" width="43.33203125" customWidth="1"/>
    <col min="2" max="4" width="13" customWidth="1"/>
    <col min="5" max="5" width="20.5" customWidth="1"/>
    <col min="6" max="9" width="13" customWidth="1"/>
    <col min="10" max="11" width="8.6640625" customWidth="1"/>
    <col min="12" max="12" width="18.6640625" customWidth="1"/>
    <col min="13" max="13" width="20.1640625" customWidth="1"/>
    <col min="14" max="14" width="17.6640625" customWidth="1"/>
    <col min="15" max="15" width="14.1640625" customWidth="1"/>
    <col min="16" max="26" width="8.6640625" customWidth="1"/>
  </cols>
  <sheetData>
    <row r="1" spans="1:9" ht="27.75" customHeight="1" x14ac:dyDescent="0.2">
      <c r="A1" s="187" t="s">
        <v>257</v>
      </c>
      <c r="B1" s="185"/>
      <c r="C1" s="185"/>
      <c r="D1" s="185"/>
      <c r="E1" s="185"/>
      <c r="F1" s="185"/>
      <c r="G1" s="185"/>
      <c r="H1" s="185"/>
      <c r="I1" s="186"/>
    </row>
    <row r="2" spans="1:9" ht="14.25" customHeight="1" x14ac:dyDescent="0.2">
      <c r="A2" s="188"/>
      <c r="B2" s="183"/>
      <c r="C2" s="183"/>
      <c r="D2" s="183"/>
      <c r="E2" s="183"/>
      <c r="F2" s="183"/>
      <c r="G2" s="183"/>
      <c r="H2" s="183"/>
      <c r="I2" s="183"/>
    </row>
    <row r="3" spans="1:9" ht="14.25" customHeight="1" x14ac:dyDescent="0.2"/>
    <row r="4" spans="1:9" ht="15" customHeight="1" x14ac:dyDescent="0.2">
      <c r="A4" s="184" t="s">
        <v>1</v>
      </c>
      <c r="B4" s="185"/>
      <c r="C4" s="185"/>
      <c r="D4" s="185"/>
      <c r="E4" s="185"/>
      <c r="F4" s="185"/>
      <c r="G4" s="185"/>
      <c r="H4" s="185"/>
      <c r="I4" s="186"/>
    </row>
    <row r="5" spans="1:9" ht="14.25" customHeight="1" x14ac:dyDescent="0.2">
      <c r="A5" s="182" t="s">
        <v>2</v>
      </c>
      <c r="B5" s="183"/>
      <c r="C5" s="183"/>
      <c r="D5" s="183"/>
      <c r="E5" s="183"/>
      <c r="F5" s="183"/>
      <c r="G5" s="183"/>
      <c r="H5" s="183"/>
      <c r="I5" s="183"/>
    </row>
    <row r="6" spans="1:9" ht="14.25" customHeight="1" x14ac:dyDescent="0.2">
      <c r="A6" s="3" t="s">
        <v>3</v>
      </c>
      <c r="B6" s="146">
        <v>2024</v>
      </c>
      <c r="C6" s="3" t="s">
        <v>4</v>
      </c>
      <c r="D6" s="3" t="s">
        <v>5</v>
      </c>
      <c r="E6" s="3" t="s">
        <v>6</v>
      </c>
    </row>
    <row r="7" spans="1:9" ht="14.25" customHeight="1" x14ac:dyDescent="0.2">
      <c r="A7" s="4" t="s">
        <v>7</v>
      </c>
      <c r="B7" s="147">
        <v>0</v>
      </c>
      <c r="C7" s="106">
        <v>0</v>
      </c>
      <c r="D7" s="106">
        <v>0.3085</v>
      </c>
      <c r="E7" s="106">
        <v>0</v>
      </c>
    </row>
    <row r="8" spans="1:9" ht="14.25" customHeight="1" x14ac:dyDescent="0.2">
      <c r="A8" s="4" t="s">
        <v>8</v>
      </c>
      <c r="B8" s="147">
        <v>0</v>
      </c>
      <c r="C8" s="106">
        <v>0</v>
      </c>
      <c r="D8" s="106">
        <v>0</v>
      </c>
      <c r="E8" s="106">
        <v>0</v>
      </c>
    </row>
    <row r="9" spans="1:9" ht="14.25" customHeight="1" x14ac:dyDescent="0.2">
      <c r="A9" s="4" t="s">
        <v>9</v>
      </c>
      <c r="B9" s="147">
        <v>0</v>
      </c>
      <c r="C9" s="106">
        <v>0</v>
      </c>
      <c r="D9" s="106">
        <v>0</v>
      </c>
      <c r="E9" s="106">
        <v>0</v>
      </c>
    </row>
    <row r="10" spans="1:9" ht="14.25" customHeight="1" x14ac:dyDescent="0.2">
      <c r="A10" s="4" t="s">
        <v>10</v>
      </c>
      <c r="B10" s="147">
        <v>0</v>
      </c>
      <c r="C10" s="106">
        <v>0</v>
      </c>
      <c r="D10" s="106">
        <v>0</v>
      </c>
      <c r="E10" s="106">
        <v>0</v>
      </c>
    </row>
    <row r="11" spans="1:9" ht="14.25" customHeight="1" x14ac:dyDescent="0.2">
      <c r="A11" s="4" t="s">
        <v>11</v>
      </c>
      <c r="B11" s="147">
        <v>1</v>
      </c>
      <c r="C11" s="106">
        <v>0</v>
      </c>
      <c r="D11" s="106">
        <v>0</v>
      </c>
      <c r="E11" s="106">
        <v>0</v>
      </c>
    </row>
    <row r="12" spans="1:9" ht="14.25" customHeight="1" x14ac:dyDescent="0.2">
      <c r="A12" s="4" t="s">
        <v>12</v>
      </c>
      <c r="B12" s="147">
        <v>0</v>
      </c>
      <c r="C12" s="106">
        <v>1</v>
      </c>
      <c r="D12" s="106">
        <v>1</v>
      </c>
      <c r="E12" s="106">
        <v>1</v>
      </c>
    </row>
    <row r="13" spans="1:9" ht="14.25" customHeight="1" x14ac:dyDescent="0.2">
      <c r="A13" s="4" t="s">
        <v>13</v>
      </c>
      <c r="B13" s="147">
        <v>0</v>
      </c>
      <c r="C13" s="106">
        <v>0</v>
      </c>
      <c r="D13" s="106">
        <v>0</v>
      </c>
      <c r="E13" s="106">
        <v>2.1553</v>
      </c>
    </row>
    <row r="14" spans="1:9" ht="14.25" customHeight="1" x14ac:dyDescent="0.2">
      <c r="A14" s="4" t="s">
        <v>14</v>
      </c>
      <c r="B14" s="147">
        <v>0</v>
      </c>
      <c r="C14" s="106">
        <v>0</v>
      </c>
      <c r="D14" s="106">
        <v>0</v>
      </c>
      <c r="E14" s="106">
        <v>0</v>
      </c>
    </row>
    <row r="15" spans="1:9" ht="14.25" customHeight="1" x14ac:dyDescent="0.2">
      <c r="A15" s="4" t="s">
        <v>15</v>
      </c>
      <c r="B15" s="147">
        <v>0</v>
      </c>
      <c r="C15" s="106">
        <v>0</v>
      </c>
      <c r="D15" s="106">
        <v>0</v>
      </c>
      <c r="E15" s="106">
        <v>0</v>
      </c>
    </row>
    <row r="16" spans="1:9" ht="14.25" customHeight="1" x14ac:dyDescent="0.2">
      <c r="A16" s="4" t="s">
        <v>16</v>
      </c>
      <c r="B16" s="147">
        <v>0</v>
      </c>
      <c r="C16" s="106">
        <v>0</v>
      </c>
      <c r="D16" s="106">
        <v>0</v>
      </c>
      <c r="E16" s="106">
        <v>0</v>
      </c>
    </row>
    <row r="17" spans="1:9" ht="14.25" customHeight="1" x14ac:dyDescent="0.2">
      <c r="A17" s="1"/>
    </row>
    <row r="18" spans="1:9" ht="14.25" customHeight="1" x14ac:dyDescent="0.2"/>
    <row r="19" spans="1:9" ht="14.25" customHeight="1" x14ac:dyDescent="0.2">
      <c r="A19" s="182" t="s">
        <v>17</v>
      </c>
      <c r="B19" s="183"/>
      <c r="C19" s="183"/>
      <c r="D19" s="183"/>
      <c r="E19" s="183"/>
      <c r="F19" s="183"/>
      <c r="G19" s="183"/>
      <c r="H19" s="183"/>
      <c r="I19" s="183"/>
    </row>
    <row r="20" spans="1:9" ht="14.25" customHeight="1" x14ac:dyDescent="0.2">
      <c r="A20" s="3" t="s">
        <v>105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3" t="s">
        <v>26</v>
      </c>
    </row>
    <row r="21" spans="1:9" ht="14.25" customHeight="1" x14ac:dyDescent="0.2">
      <c r="A21" s="4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35" si="0">SUM(B21:G21)</f>
        <v>0</v>
      </c>
      <c r="I21" s="31" t="s">
        <v>4</v>
      </c>
    </row>
    <row r="22" spans="1:9" ht="14.25" customHeight="1" x14ac:dyDescent="0.2">
      <c r="A22" s="4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0"/>
        <v>0</v>
      </c>
      <c r="I22" s="31" t="s">
        <v>4</v>
      </c>
    </row>
    <row r="23" spans="1:9" ht="14.25" customHeight="1" x14ac:dyDescent="0.2">
      <c r="A23" s="4" t="s">
        <v>29</v>
      </c>
      <c r="B23" s="5">
        <v>144000</v>
      </c>
      <c r="C23" s="5">
        <v>90000</v>
      </c>
      <c r="D23" s="5">
        <v>72000</v>
      </c>
      <c r="E23" s="5">
        <v>99000</v>
      </c>
      <c r="F23" s="5">
        <v>157500</v>
      </c>
      <c r="G23" s="5">
        <v>78750</v>
      </c>
      <c r="H23" s="6">
        <f t="shared" si="0"/>
        <v>641250</v>
      </c>
      <c r="I23" s="31" t="s">
        <v>4</v>
      </c>
    </row>
    <row r="24" spans="1:9" ht="14.25" customHeight="1" x14ac:dyDescent="0.2">
      <c r="A24" s="4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0"/>
        <v>0</v>
      </c>
      <c r="I24" s="31" t="s">
        <v>4</v>
      </c>
    </row>
    <row r="25" spans="1:9" ht="14.25" customHeight="1" thickBot="1" x14ac:dyDescent="0.25">
      <c r="A25" s="33" t="s">
        <v>31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5">
        <f t="shared" si="0"/>
        <v>0</v>
      </c>
      <c r="I25" s="36" t="s">
        <v>4</v>
      </c>
    </row>
    <row r="26" spans="1:9" ht="14.25" customHeight="1" x14ac:dyDescent="0.2">
      <c r="A26" s="29" t="s">
        <v>32</v>
      </c>
      <c r="B26" s="13">
        <v>154250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30">
        <f t="shared" si="0"/>
        <v>154250</v>
      </c>
      <c r="I26" s="31" t="s">
        <v>5</v>
      </c>
    </row>
    <row r="27" spans="1:9" ht="14.25" customHeight="1" x14ac:dyDescent="0.2">
      <c r="A27" s="4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6">
        <f t="shared" si="0"/>
        <v>0</v>
      </c>
      <c r="I27" s="31" t="s">
        <v>5</v>
      </c>
    </row>
    <row r="28" spans="1:9" ht="14.25" customHeight="1" x14ac:dyDescent="0.2">
      <c r="A28" s="4" t="s">
        <v>34</v>
      </c>
      <c r="B28" s="5">
        <v>104950</v>
      </c>
      <c r="C28" s="5">
        <v>162000</v>
      </c>
      <c r="D28" s="5">
        <v>129600</v>
      </c>
      <c r="E28" s="5">
        <v>178200</v>
      </c>
      <c r="F28" s="5">
        <v>283500</v>
      </c>
      <c r="G28" s="5">
        <v>141750</v>
      </c>
      <c r="H28" s="6">
        <f t="shared" si="0"/>
        <v>1000000</v>
      </c>
      <c r="I28" s="31" t="s">
        <v>5</v>
      </c>
    </row>
    <row r="29" spans="1:9" ht="14.25" customHeight="1" x14ac:dyDescent="0.2">
      <c r="A29" s="4" t="s">
        <v>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f t="shared" si="0"/>
        <v>0</v>
      </c>
      <c r="I29" s="31" t="s">
        <v>5</v>
      </c>
    </row>
    <row r="30" spans="1:9" ht="14.25" customHeight="1" thickBot="1" x14ac:dyDescent="0.25">
      <c r="A30" s="33" t="s">
        <v>36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5">
        <f t="shared" si="0"/>
        <v>0</v>
      </c>
      <c r="I30" s="36" t="s">
        <v>5</v>
      </c>
    </row>
    <row r="31" spans="1:9" ht="14.25" customHeight="1" x14ac:dyDescent="0.2">
      <c r="A31" s="29" t="s">
        <v>37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30">
        <f t="shared" si="0"/>
        <v>0</v>
      </c>
      <c r="I31" s="31" t="s">
        <v>6</v>
      </c>
    </row>
    <row r="32" spans="1:9" ht="14.25" customHeight="1" x14ac:dyDescent="0.2">
      <c r="A32" s="4" t="s">
        <v>38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0"/>
        <v>0</v>
      </c>
      <c r="I32" s="31" t="s">
        <v>6</v>
      </c>
    </row>
    <row r="33" spans="1:9" ht="14.25" customHeight="1" x14ac:dyDescent="0.2">
      <c r="A33" s="4" t="s">
        <v>39</v>
      </c>
      <c r="B33" s="5">
        <v>466560</v>
      </c>
      <c r="C33" s="5">
        <v>291600</v>
      </c>
      <c r="D33" s="5">
        <v>233280</v>
      </c>
      <c r="E33" s="5">
        <v>8560</v>
      </c>
      <c r="F33" s="5">
        <v>0</v>
      </c>
      <c r="G33" s="5">
        <v>0</v>
      </c>
      <c r="H33" s="6">
        <f t="shared" si="0"/>
        <v>1000000</v>
      </c>
      <c r="I33" s="31" t="s">
        <v>6</v>
      </c>
    </row>
    <row r="34" spans="1:9" ht="14.25" customHeight="1" x14ac:dyDescent="0.2">
      <c r="A34" s="4" t="s">
        <v>40</v>
      </c>
      <c r="B34" s="5">
        <v>0</v>
      </c>
      <c r="C34" s="5">
        <v>0</v>
      </c>
      <c r="D34" s="5">
        <v>0</v>
      </c>
      <c r="E34" s="5">
        <v>312200</v>
      </c>
      <c r="F34" s="5">
        <v>510300</v>
      </c>
      <c r="G34" s="5">
        <v>255150</v>
      </c>
      <c r="H34" s="6">
        <f t="shared" si="0"/>
        <v>1077650</v>
      </c>
      <c r="I34" s="31" t="s">
        <v>6</v>
      </c>
    </row>
    <row r="35" spans="1:9" ht="14.25" customHeight="1" thickBot="1" x14ac:dyDescent="0.25">
      <c r="A35" s="33" t="s">
        <v>41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5">
        <f t="shared" si="0"/>
        <v>0</v>
      </c>
      <c r="I35" s="36" t="s">
        <v>6</v>
      </c>
    </row>
    <row r="36" spans="1:9" ht="14.25" customHeight="1" x14ac:dyDescent="0.2">
      <c r="A36" s="32"/>
      <c r="B36" s="32"/>
      <c r="C36" s="32"/>
      <c r="D36" s="32"/>
      <c r="E36" s="32"/>
      <c r="F36" s="32"/>
      <c r="G36" s="32"/>
      <c r="H36" s="32"/>
      <c r="I36" s="32"/>
    </row>
    <row r="37" spans="1:9" ht="14.25" customHeight="1" x14ac:dyDescent="0.2"/>
    <row r="38" spans="1:9" ht="14.25" customHeight="1" x14ac:dyDescent="0.2">
      <c r="A38" s="3" t="s">
        <v>109</v>
      </c>
      <c r="B38" s="3" t="s">
        <v>4</v>
      </c>
      <c r="C38" s="3" t="s">
        <v>5</v>
      </c>
      <c r="D38" s="3" t="s">
        <v>6</v>
      </c>
    </row>
    <row r="39" spans="1:9" ht="14.25" customHeight="1" x14ac:dyDescent="0.2">
      <c r="A39" s="4" t="s">
        <v>7</v>
      </c>
      <c r="B39" s="106">
        <v>0</v>
      </c>
      <c r="C39" s="106">
        <v>0</v>
      </c>
      <c r="D39" s="106">
        <v>0.3085</v>
      </c>
    </row>
    <row r="40" spans="1:9" ht="14.25" customHeight="1" x14ac:dyDescent="0.2">
      <c r="A40" s="4" t="s">
        <v>8</v>
      </c>
      <c r="B40" s="106">
        <v>0</v>
      </c>
      <c r="C40" s="106">
        <v>0</v>
      </c>
      <c r="D40" s="106">
        <v>0</v>
      </c>
    </row>
    <row r="41" spans="1:9" ht="14.25" customHeight="1" x14ac:dyDescent="0.2">
      <c r="A41" s="4" t="s">
        <v>9</v>
      </c>
      <c r="B41" s="106">
        <v>0</v>
      </c>
      <c r="C41" s="106">
        <v>0</v>
      </c>
      <c r="D41" s="106">
        <v>0</v>
      </c>
    </row>
    <row r="42" spans="1:9" ht="14.25" customHeight="1" x14ac:dyDescent="0.2">
      <c r="A42" s="4" t="s">
        <v>10</v>
      </c>
      <c r="B42" s="106">
        <v>0</v>
      </c>
      <c r="C42" s="106">
        <v>0</v>
      </c>
      <c r="D42" s="106">
        <v>0</v>
      </c>
    </row>
    <row r="43" spans="1:9" ht="14.25" customHeight="1" x14ac:dyDescent="0.2">
      <c r="A43" s="4" t="s">
        <v>11</v>
      </c>
      <c r="B43" s="106">
        <v>1</v>
      </c>
      <c r="C43" s="106">
        <v>0</v>
      </c>
      <c r="D43" s="106">
        <v>0</v>
      </c>
    </row>
    <row r="44" spans="1:9" ht="14.25" customHeight="1" x14ac:dyDescent="0.2">
      <c r="A44" s="4" t="s">
        <v>12</v>
      </c>
      <c r="B44" s="106">
        <v>0</v>
      </c>
      <c r="C44" s="106">
        <v>0</v>
      </c>
      <c r="D44" s="106">
        <v>0</v>
      </c>
    </row>
    <row r="45" spans="1:9" ht="14.25" customHeight="1" x14ac:dyDescent="0.2">
      <c r="A45" s="4" t="s">
        <v>13</v>
      </c>
      <c r="B45" s="106">
        <v>0</v>
      </c>
      <c r="C45" s="106">
        <v>0</v>
      </c>
      <c r="D45" s="106">
        <v>0</v>
      </c>
    </row>
    <row r="46" spans="1:9" ht="14.25" customHeight="1" x14ac:dyDescent="0.2">
      <c r="A46" s="4" t="s">
        <v>14</v>
      </c>
      <c r="B46" s="106">
        <v>0</v>
      </c>
      <c r="C46" s="106">
        <v>0</v>
      </c>
      <c r="D46" s="106">
        <v>0</v>
      </c>
    </row>
    <row r="47" spans="1:9" ht="14.25" customHeight="1" x14ac:dyDescent="0.2">
      <c r="A47" s="4" t="s">
        <v>15</v>
      </c>
      <c r="B47" s="106">
        <v>0</v>
      </c>
      <c r="C47" s="106">
        <v>0</v>
      </c>
      <c r="D47" s="106">
        <v>0</v>
      </c>
    </row>
    <row r="48" spans="1:9" ht="14.25" customHeight="1" x14ac:dyDescent="0.2">
      <c r="A48" s="4" t="s">
        <v>16</v>
      </c>
      <c r="B48" s="106">
        <v>0</v>
      </c>
      <c r="C48" s="106">
        <v>0</v>
      </c>
      <c r="D48" s="106">
        <v>0</v>
      </c>
    </row>
    <row r="49" spans="1:15" ht="14.25" customHeight="1" x14ac:dyDescent="0.2"/>
    <row r="50" spans="1:15" ht="14.25" customHeight="1" x14ac:dyDescent="0.2">
      <c r="A50" s="3" t="s">
        <v>47</v>
      </c>
      <c r="B50" s="15" t="s">
        <v>48</v>
      </c>
      <c r="C50" s="15" t="s">
        <v>49</v>
      </c>
      <c r="D50" s="15" t="s">
        <v>50</v>
      </c>
      <c r="E50" s="15" t="s">
        <v>51</v>
      </c>
      <c r="F50" s="15" t="s">
        <v>52</v>
      </c>
      <c r="G50" s="3" t="s">
        <v>25</v>
      </c>
      <c r="H50" s="3" t="s">
        <v>26</v>
      </c>
    </row>
    <row r="51" spans="1:15" ht="14.25" customHeight="1" thickBot="1" x14ac:dyDescent="0.25">
      <c r="A51" s="16" t="s">
        <v>46</v>
      </c>
      <c r="B51" s="9">
        <v>0</v>
      </c>
      <c r="C51" s="9">
        <v>0</v>
      </c>
      <c r="D51" s="9">
        <v>641250</v>
      </c>
      <c r="E51" s="9">
        <v>0</v>
      </c>
      <c r="F51" s="9">
        <v>0</v>
      </c>
      <c r="G51" s="10">
        <f t="shared" ref="G51:G53" si="1">SUM(B51:F51)</f>
        <v>641250</v>
      </c>
      <c r="H51" s="11" t="s">
        <v>4</v>
      </c>
    </row>
    <row r="52" spans="1:15" ht="14.25" customHeight="1" thickBot="1" x14ac:dyDescent="0.25">
      <c r="A52" s="16" t="s">
        <v>46</v>
      </c>
      <c r="B52" s="9">
        <v>154250</v>
      </c>
      <c r="C52" s="9">
        <v>0</v>
      </c>
      <c r="D52" s="9">
        <v>1000000</v>
      </c>
      <c r="E52" s="9">
        <v>0</v>
      </c>
      <c r="F52" s="9">
        <v>0</v>
      </c>
      <c r="G52" s="10">
        <f t="shared" si="1"/>
        <v>1154250</v>
      </c>
      <c r="H52" s="11" t="s">
        <v>5</v>
      </c>
    </row>
    <row r="53" spans="1:15" ht="14.25" customHeight="1" thickBot="1" x14ac:dyDescent="0.25">
      <c r="A53" s="16" t="s">
        <v>46</v>
      </c>
      <c r="B53" s="9">
        <v>0</v>
      </c>
      <c r="C53" s="9">
        <v>0</v>
      </c>
      <c r="D53" s="9">
        <v>1000000</v>
      </c>
      <c r="E53" s="9">
        <v>1077650</v>
      </c>
      <c r="F53" s="9">
        <v>0</v>
      </c>
      <c r="G53" s="10">
        <f t="shared" si="1"/>
        <v>2077650</v>
      </c>
      <c r="H53" s="11" t="s">
        <v>6</v>
      </c>
    </row>
    <row r="54" spans="1:15" ht="14.25" customHeight="1" x14ac:dyDescent="0.2"/>
    <row r="55" spans="1:15" ht="14.25" customHeight="1" x14ac:dyDescent="0.2"/>
    <row r="56" spans="1:15" ht="14.25" customHeight="1" x14ac:dyDescent="0.2"/>
    <row r="57" spans="1:15" ht="14.25" customHeight="1" x14ac:dyDescent="0.2"/>
    <row r="58" spans="1:15" ht="15" customHeight="1" x14ac:dyDescent="0.2">
      <c r="A58" s="204" t="s">
        <v>249</v>
      </c>
      <c r="B58" s="205"/>
      <c r="C58" s="205"/>
      <c r="D58" s="205"/>
      <c r="E58" s="205"/>
      <c r="F58" s="205"/>
      <c r="G58" s="205"/>
      <c r="H58" s="205"/>
      <c r="I58" s="206"/>
    </row>
    <row r="59" spans="1:15" ht="14.25" customHeight="1" x14ac:dyDescent="0.2">
      <c r="A59" s="182" t="s">
        <v>54</v>
      </c>
      <c r="B59" s="183"/>
      <c r="C59" s="183"/>
      <c r="D59" s="183"/>
      <c r="E59" s="183"/>
      <c r="F59" s="183"/>
      <c r="G59" s="183"/>
      <c r="H59" s="183"/>
      <c r="I59" s="183"/>
    </row>
    <row r="60" spans="1:15" ht="14.25" customHeight="1" x14ac:dyDescent="0.2">
      <c r="A60" s="144" t="s">
        <v>55</v>
      </c>
      <c r="B60" s="144" t="s">
        <v>56</v>
      </c>
      <c r="C60" s="144" t="s">
        <v>57</v>
      </c>
      <c r="D60" s="144" t="s">
        <v>58</v>
      </c>
      <c r="E60" s="144" t="s">
        <v>59</v>
      </c>
      <c r="F60" s="144" t="s">
        <v>60</v>
      </c>
      <c r="G60" s="144" t="s">
        <v>61</v>
      </c>
      <c r="L60" s="65" t="s">
        <v>209</v>
      </c>
      <c r="M60" s="66">
        <v>2025</v>
      </c>
      <c r="N60" s="66">
        <v>2026</v>
      </c>
      <c r="O60" s="66">
        <v>2027</v>
      </c>
    </row>
    <row r="61" spans="1:15" ht="14.25" customHeight="1" x14ac:dyDescent="0.2">
      <c r="A61" s="15" t="s">
        <v>19</v>
      </c>
      <c r="B61" s="6">
        <f>SUM(B21,B22,B23,B24,B25)</f>
        <v>144000</v>
      </c>
      <c r="C61" s="6">
        <f>SUM(B26,B27,B28,B29,B30)</f>
        <v>259200</v>
      </c>
      <c r="D61" s="6">
        <f>SUM(B31,B32,B33,B34,B35)</f>
        <v>466560</v>
      </c>
      <c r="E61" s="6">
        <f>Demand!C62/Parameters!$B$5</f>
        <v>144000</v>
      </c>
      <c r="F61" s="6">
        <f>Demand!D62/Parameters!$B$5</f>
        <v>259200</v>
      </c>
      <c r="G61" s="6">
        <f>Demand!E62/Parameters!$B$5</f>
        <v>466560</v>
      </c>
      <c r="L61" s="67" t="s">
        <v>210</v>
      </c>
      <c r="M61" s="43">
        <f>Demand!$C$68</f>
        <v>2565000</v>
      </c>
      <c r="N61" s="43">
        <f>Demand!$D$68</f>
        <v>4617000</v>
      </c>
      <c r="O61" s="43">
        <f>Demand!$E$68</f>
        <v>8310600</v>
      </c>
    </row>
    <row r="62" spans="1:15" ht="14.25" customHeight="1" x14ac:dyDescent="0.2">
      <c r="A62" s="15" t="s">
        <v>62</v>
      </c>
      <c r="B62" s="6">
        <f>SUM(C21,C22,C23,C24,C25)</f>
        <v>90000</v>
      </c>
      <c r="C62" s="6">
        <f>SUM(C26,C27,C28,C29,C30)</f>
        <v>162000</v>
      </c>
      <c r="D62" s="6">
        <f>SUM(C31,C32,C33,C34,C35)</f>
        <v>291600</v>
      </c>
      <c r="E62" s="6">
        <f>Demand!C63/Parameters!$B$5</f>
        <v>90000</v>
      </c>
      <c r="F62" s="6">
        <f>Demand!D63/Parameters!$B$5</f>
        <v>162000</v>
      </c>
      <c r="G62" s="6">
        <f>Demand!E63/Parameters!$B$5</f>
        <v>291600</v>
      </c>
      <c r="I62" s="19"/>
      <c r="J62" s="19"/>
      <c r="L62" s="67" t="s">
        <v>211</v>
      </c>
      <c r="M62" s="44">
        <v>4000000</v>
      </c>
      <c r="N62" s="44">
        <v>4000000</v>
      </c>
      <c r="O62" s="44">
        <v>4000000</v>
      </c>
    </row>
    <row r="63" spans="1:15" ht="14.25" customHeight="1" x14ac:dyDescent="0.2">
      <c r="A63" s="15" t="s">
        <v>63</v>
      </c>
      <c r="B63" s="6">
        <f>SUM(D21,D22,D23,D24,D25)</f>
        <v>72000</v>
      </c>
      <c r="C63" s="6">
        <f>SUM(D26,D27,D28,D29,D30)</f>
        <v>129600</v>
      </c>
      <c r="D63" s="6">
        <f>SUM(D31,D32,D33,D34,D35)</f>
        <v>233280</v>
      </c>
      <c r="E63" s="6">
        <f>Demand!C64/Parameters!$B$5</f>
        <v>72000</v>
      </c>
      <c r="F63" s="6">
        <f>Demand!D64/Parameters!$B$5</f>
        <v>129600</v>
      </c>
      <c r="G63" s="6">
        <f>Demand!E64/Parameters!$B$5</f>
        <v>233280</v>
      </c>
      <c r="L63" s="67" t="s">
        <v>213</v>
      </c>
      <c r="M63" s="43">
        <f>MIN($M$61,$M62)</f>
        <v>2565000</v>
      </c>
      <c r="N63" s="43">
        <f>MIN($N$61,$N$62)</f>
        <v>4000000</v>
      </c>
      <c r="O63" s="43">
        <f>MIN($O$61,$O$62)</f>
        <v>4000000</v>
      </c>
    </row>
    <row r="64" spans="1:15" ht="14.25" customHeight="1" x14ac:dyDescent="0.2">
      <c r="A64" s="15" t="s">
        <v>64</v>
      </c>
      <c r="B64" s="6">
        <f>SUM(E21,E22,E23,E24,E25)</f>
        <v>99000</v>
      </c>
      <c r="C64" s="6">
        <f>SUM(E26,E27,E28,E29,E30)</f>
        <v>178200</v>
      </c>
      <c r="D64" s="6">
        <f>SUM(E31,E32,E33,E34,E35)</f>
        <v>320760</v>
      </c>
      <c r="E64" s="6">
        <f>Demand!C65/Parameters!$B$5</f>
        <v>99000</v>
      </c>
      <c r="F64" s="6">
        <f>Demand!D65/Parameters!$B$5</f>
        <v>178200</v>
      </c>
      <c r="G64" s="6">
        <f>Demand!E65/Parameters!$B$5</f>
        <v>320760</v>
      </c>
      <c r="L64" s="67" t="s">
        <v>214</v>
      </c>
      <c r="M64" s="43">
        <f>MAX(0,$M$61-$M$62)</f>
        <v>0</v>
      </c>
      <c r="N64" s="43">
        <f>MAX(0,$N$61-$N$62)</f>
        <v>617000</v>
      </c>
      <c r="O64" s="43">
        <f>MAX(0,$O$61-$O$62)</f>
        <v>4310600</v>
      </c>
    </row>
    <row r="65" spans="1:15" ht="14.25" customHeight="1" x14ac:dyDescent="0.2">
      <c r="A65" s="15" t="s">
        <v>65</v>
      </c>
      <c r="B65" s="6">
        <f>SUM(F21,F22,F23,F24,F25)</f>
        <v>157500</v>
      </c>
      <c r="C65" s="6">
        <f>SUM(F26,F27,F28,F29,F30)</f>
        <v>283500</v>
      </c>
      <c r="D65" s="6">
        <f>SUM(F31,F32,F33,F34,F35)</f>
        <v>510300</v>
      </c>
      <c r="E65" s="6">
        <f>Demand!C66/Parameters!$B$5</f>
        <v>157500</v>
      </c>
      <c r="F65" s="6">
        <f>Demand!D66/Parameters!$B$5</f>
        <v>283500</v>
      </c>
      <c r="G65" s="6">
        <f>Demand!E66/Parameters!$B$5</f>
        <v>510300</v>
      </c>
      <c r="L65" s="68" t="s">
        <v>212</v>
      </c>
      <c r="M65" s="69">
        <f>$M$64*14</f>
        <v>0</v>
      </c>
      <c r="N65" s="69">
        <f>$N$64*14</f>
        <v>8638000</v>
      </c>
      <c r="O65" s="69">
        <f>$O$64*14</f>
        <v>60348400</v>
      </c>
    </row>
    <row r="66" spans="1:15" ht="14.25" customHeight="1" x14ac:dyDescent="0.2">
      <c r="A66" s="15" t="s">
        <v>66</v>
      </c>
      <c r="B66" s="6">
        <f>SUM(G21,G22,G23,G24,G25)</f>
        <v>78750</v>
      </c>
      <c r="C66" s="6">
        <f>SUM(G26,G27,G28,G29,G30)</f>
        <v>141750</v>
      </c>
      <c r="D66" s="6">
        <f>SUM(G31,G32,G33,G34,G35)</f>
        <v>255150</v>
      </c>
      <c r="E66" s="6">
        <f>Demand!C67/Parameters!$B$5</f>
        <v>78750</v>
      </c>
      <c r="F66" s="6">
        <f>Demand!D67/Parameters!$B$5</f>
        <v>141750</v>
      </c>
      <c r="G66" s="6">
        <f>Demand!E67/Parameters!$B$5</f>
        <v>255150</v>
      </c>
    </row>
    <row r="67" spans="1:15" ht="14.25" customHeight="1" x14ac:dyDescent="0.2"/>
    <row r="68" spans="1:15" ht="14.25" customHeight="1" x14ac:dyDescent="0.2">
      <c r="A68" s="182" t="s">
        <v>67</v>
      </c>
      <c r="B68" s="183"/>
      <c r="C68" s="183"/>
      <c r="D68" s="183"/>
      <c r="E68" s="183"/>
      <c r="F68" s="183"/>
      <c r="G68" s="183"/>
      <c r="H68" s="183"/>
      <c r="I68" s="183"/>
    </row>
    <row r="69" spans="1:15" ht="26" customHeight="1" x14ac:dyDescent="0.2">
      <c r="A69" s="144" t="s">
        <v>68</v>
      </c>
      <c r="B69" s="144" t="s">
        <v>69</v>
      </c>
      <c r="C69" s="144" t="s">
        <v>70</v>
      </c>
      <c r="D69" s="144" t="s">
        <v>71</v>
      </c>
      <c r="E69" s="144" t="s">
        <v>72</v>
      </c>
      <c r="F69" s="144" t="s">
        <v>73</v>
      </c>
      <c r="G69" s="144" t="s">
        <v>74</v>
      </c>
    </row>
    <row r="70" spans="1:15" ht="14.25" customHeight="1" x14ac:dyDescent="0.2">
      <c r="A70" s="15" t="s">
        <v>48</v>
      </c>
      <c r="B70" s="6">
        <f>SUM(B21,C21,D21,E21,F21,G21)*Parameters!$B$5</f>
        <v>0</v>
      </c>
      <c r="C70" s="6">
        <f>SUM(B26,C26,D26,E26,F26,G26)*Parameters!$B$5</f>
        <v>617000</v>
      </c>
      <c r="D70" s="6">
        <f>SUM(B31,C31,D31,E31,F31,G31)*Parameters!$B$5</f>
        <v>0</v>
      </c>
      <c r="E70" s="6">
        <f>C7*Parameters!$D20+C8*Parameters!$G20</f>
        <v>0</v>
      </c>
      <c r="F70" s="6">
        <f>D7*Parameters!$D20+D8*Parameters!$G20</f>
        <v>617000</v>
      </c>
      <c r="G70" s="6">
        <f>E7*Parameters!$D20+E8*Parameters!$G20</f>
        <v>0</v>
      </c>
    </row>
    <row r="71" spans="1:15" ht="14.25" customHeight="1" x14ac:dyDescent="0.2">
      <c r="A71" s="15" t="s">
        <v>49</v>
      </c>
      <c r="B71" s="6">
        <f>SUM(B22,C22,D22,E22,F22,G22)*Parameters!$B$5</f>
        <v>0</v>
      </c>
      <c r="C71" s="6">
        <f>SUM(B27,C27,D27,E27,F27,G27)*Parameters!$B$5</f>
        <v>0</v>
      </c>
      <c r="D71" s="6">
        <f>SUM(B32,C32,D32,E32,F32,G32)*Parameters!$B$5</f>
        <v>0</v>
      </c>
      <c r="E71" s="6">
        <f>C9*Parameters!$D21+C10*Parameters!$G21</f>
        <v>0</v>
      </c>
      <c r="F71" s="6">
        <f>D9*Parameters!$D21+D10*Parameters!$G21</f>
        <v>0</v>
      </c>
      <c r="G71" s="6">
        <f>E9*Parameters!$D21+E10*Parameters!$G21</f>
        <v>0</v>
      </c>
    </row>
    <row r="72" spans="1:15" ht="14.25" customHeight="1" x14ac:dyDescent="0.2">
      <c r="A72" s="15" t="s">
        <v>50</v>
      </c>
      <c r="B72" s="6">
        <f>SUM(B23,C23,D23,E23,F23,G23)*Parameters!$B$5</f>
        <v>2565000</v>
      </c>
      <c r="C72" s="6">
        <f>SUM(B28,C28,D28,E28,F28,G28)*Parameters!$B$5</f>
        <v>4000000</v>
      </c>
      <c r="D72" s="6">
        <f>SUM(B33,C33,D33,E33,F33,G33)*Parameters!$B$5</f>
        <v>4000000</v>
      </c>
      <c r="E72" s="6">
        <f>C11*Parameters!$D22+C12*Parameters!$G22</f>
        <v>4000000</v>
      </c>
      <c r="F72" s="6">
        <f>D11*Parameters!$D22+D12*Parameters!$G22</f>
        <v>4000000</v>
      </c>
      <c r="G72" s="6">
        <f>E11*Parameters!$D22+E12*Parameters!$G22</f>
        <v>4000000</v>
      </c>
    </row>
    <row r="73" spans="1:15" ht="14.25" customHeight="1" x14ac:dyDescent="0.2">
      <c r="A73" s="15" t="s">
        <v>51</v>
      </c>
      <c r="B73" s="6">
        <f>SUM(B24,C24,D24,E24,F24,G24)*Parameters!$B$5</f>
        <v>0</v>
      </c>
      <c r="C73" s="6">
        <f>SUM(B29,C29,D29,E29,F29,G29)*Parameters!$B$5</f>
        <v>0</v>
      </c>
      <c r="D73" s="6">
        <f>SUM(B34,C34,D34,E34,F34,G34)*Parameters!$B$5</f>
        <v>4310600</v>
      </c>
      <c r="E73" s="6">
        <f>C13*Parameters!$D23+C14*Parameters!$G23</f>
        <v>0</v>
      </c>
      <c r="F73" s="6">
        <f>D13*Parameters!$D23+D14*Parameters!$G23</f>
        <v>0</v>
      </c>
      <c r="G73" s="6">
        <f>E13*Parameters!$D23+E14*Parameters!$G23</f>
        <v>4310600</v>
      </c>
    </row>
    <row r="74" spans="1:15" ht="14.25" customHeight="1" x14ac:dyDescent="0.2">
      <c r="A74" s="15" t="s">
        <v>52</v>
      </c>
      <c r="B74" s="6">
        <f>SUM(B25,C25,D25,E25,F25,G25)*Parameters!$B$5</f>
        <v>0</v>
      </c>
      <c r="C74" s="6">
        <f>SUM(B30,C30,D30,E30,F30,G30)*Parameters!$B$5</f>
        <v>0</v>
      </c>
      <c r="D74" s="6">
        <f>SUM(B35,C35,D35,E35,F35,G35)*Parameters!$B$5</f>
        <v>0</v>
      </c>
      <c r="E74" s="6">
        <f>C15*Parameters!$D24+C16*Parameters!$G24</f>
        <v>0</v>
      </c>
      <c r="F74" s="6">
        <f>D15*Parameters!$D24+D16*Parameters!$G24</f>
        <v>0</v>
      </c>
      <c r="G74" s="6">
        <f>E15*Parameters!$D24+E16*Parameters!$G24</f>
        <v>0</v>
      </c>
    </row>
    <row r="75" spans="1:15" ht="14.25" customHeight="1" x14ac:dyDescent="0.2"/>
    <row r="76" spans="1:15" ht="14.25" customHeight="1" x14ac:dyDescent="0.2">
      <c r="A76" s="182" t="s">
        <v>75</v>
      </c>
      <c r="B76" s="183"/>
      <c r="C76" s="183"/>
      <c r="D76" s="183"/>
      <c r="E76" s="183"/>
      <c r="F76" s="183"/>
      <c r="G76" s="183"/>
      <c r="H76" s="183"/>
      <c r="I76" s="183"/>
    </row>
    <row r="77" spans="1:15" ht="14.25" customHeight="1" x14ac:dyDescent="0.2">
      <c r="A77" s="144" t="s">
        <v>68</v>
      </c>
      <c r="B77" s="144" t="s">
        <v>76</v>
      </c>
      <c r="C77" s="144" t="s">
        <v>77</v>
      </c>
      <c r="D77" s="144" t="s">
        <v>78</v>
      </c>
    </row>
    <row r="78" spans="1:15" ht="14.25" customHeight="1" x14ac:dyDescent="0.2">
      <c r="A78" s="15" t="s">
        <v>48</v>
      </c>
      <c r="B78" s="20">
        <f>C7+C8</f>
        <v>0</v>
      </c>
      <c r="C78" s="20">
        <f>D7+D8</f>
        <v>0.3085</v>
      </c>
      <c r="D78" s="20">
        <f>E7+E8</f>
        <v>0</v>
      </c>
      <c r="F78" s="19"/>
    </row>
    <row r="79" spans="1:15" ht="14.25" customHeight="1" x14ac:dyDescent="0.2">
      <c r="A79" s="15" t="s">
        <v>49</v>
      </c>
      <c r="B79" s="20">
        <f>C9+C10</f>
        <v>0</v>
      </c>
      <c r="C79" s="20">
        <f>D9+D10</f>
        <v>0</v>
      </c>
      <c r="D79" s="20">
        <f>E9+E10</f>
        <v>0</v>
      </c>
    </row>
    <row r="80" spans="1:15" ht="14.25" customHeight="1" x14ac:dyDescent="0.2">
      <c r="A80" s="15" t="s">
        <v>50</v>
      </c>
      <c r="B80" s="20">
        <f>C11+C12</f>
        <v>1</v>
      </c>
      <c r="C80" s="20">
        <f>D11+D12</f>
        <v>1</v>
      </c>
      <c r="D80" s="20">
        <f>E11+E12</f>
        <v>1</v>
      </c>
    </row>
    <row r="81" spans="1:9" ht="14.25" customHeight="1" x14ac:dyDescent="0.2">
      <c r="A81" s="15" t="s">
        <v>51</v>
      </c>
      <c r="B81" s="20">
        <f>C13+C14</f>
        <v>0</v>
      </c>
      <c r="C81" s="20">
        <f>D13+D14</f>
        <v>0</v>
      </c>
      <c r="D81" s="20">
        <f>E13+E14</f>
        <v>2.1553</v>
      </c>
    </row>
    <row r="82" spans="1:9" ht="14.25" customHeight="1" x14ac:dyDescent="0.2">
      <c r="A82" s="15" t="s">
        <v>52</v>
      </c>
      <c r="B82" s="20">
        <f>C15+C16</f>
        <v>0</v>
      </c>
      <c r="C82" s="20">
        <f>D15+D16</f>
        <v>0</v>
      </c>
      <c r="D82" s="20">
        <f>E15+E16</f>
        <v>0</v>
      </c>
    </row>
    <row r="83" spans="1:9" ht="14.25" customHeight="1" x14ac:dyDescent="0.2"/>
    <row r="84" spans="1:9" ht="14.25" customHeight="1" x14ac:dyDescent="0.2"/>
    <row r="85" spans="1:9" ht="14.25" customHeight="1" x14ac:dyDescent="0.2">
      <c r="A85" s="182" t="s">
        <v>80</v>
      </c>
      <c r="B85" s="183"/>
      <c r="C85" s="183"/>
      <c r="D85" s="183"/>
      <c r="E85" s="183"/>
      <c r="F85" s="183"/>
      <c r="G85" s="183"/>
      <c r="H85" s="183"/>
      <c r="I85" s="183"/>
    </row>
    <row r="86" spans="1:9" ht="14.25" customHeight="1" x14ac:dyDescent="0.2">
      <c r="A86" s="145" t="s">
        <v>81</v>
      </c>
      <c r="B86" s="145" t="s">
        <v>4</v>
      </c>
      <c r="C86" s="145" t="s">
        <v>5</v>
      </c>
      <c r="D86" s="145" t="s">
        <v>6</v>
      </c>
    </row>
    <row r="87" spans="1:9" ht="14.25" customHeight="1" x14ac:dyDescent="0.2">
      <c r="A87" s="4" t="s">
        <v>7</v>
      </c>
      <c r="B87" s="22">
        <f t="shared" ref="B87:D96" si="2">B7-C7</f>
        <v>0</v>
      </c>
      <c r="C87" s="22">
        <f t="shared" si="2"/>
        <v>-0.3085</v>
      </c>
      <c r="D87" s="22">
        <f t="shared" si="2"/>
        <v>0.3085</v>
      </c>
    </row>
    <row r="88" spans="1:9" ht="14.25" customHeight="1" x14ac:dyDescent="0.2">
      <c r="A88" s="4" t="s">
        <v>8</v>
      </c>
      <c r="B88" s="22">
        <f t="shared" si="2"/>
        <v>0</v>
      </c>
      <c r="C88" s="22">
        <f t="shared" si="2"/>
        <v>0</v>
      </c>
      <c r="D88" s="22">
        <f t="shared" si="2"/>
        <v>0</v>
      </c>
    </row>
    <row r="89" spans="1:9" ht="14.25" customHeight="1" x14ac:dyDescent="0.2">
      <c r="A89" s="4" t="s">
        <v>9</v>
      </c>
      <c r="B89" s="22">
        <f t="shared" si="2"/>
        <v>0</v>
      </c>
      <c r="C89" s="22">
        <f t="shared" si="2"/>
        <v>0</v>
      </c>
      <c r="D89" s="22">
        <f t="shared" si="2"/>
        <v>0</v>
      </c>
    </row>
    <row r="90" spans="1:9" ht="14.25" customHeight="1" x14ac:dyDescent="0.2">
      <c r="A90" s="4" t="s">
        <v>10</v>
      </c>
      <c r="B90" s="22">
        <f t="shared" si="2"/>
        <v>0</v>
      </c>
      <c r="C90" s="22">
        <f t="shared" si="2"/>
        <v>0</v>
      </c>
      <c r="D90" s="22">
        <f t="shared" si="2"/>
        <v>0</v>
      </c>
    </row>
    <row r="91" spans="1:9" ht="14.25" customHeight="1" x14ac:dyDescent="0.2">
      <c r="A91" s="4" t="s">
        <v>11</v>
      </c>
      <c r="B91" s="22">
        <f t="shared" si="2"/>
        <v>1</v>
      </c>
      <c r="C91" s="22">
        <f t="shared" si="2"/>
        <v>0</v>
      </c>
      <c r="D91" s="22">
        <f t="shared" si="2"/>
        <v>0</v>
      </c>
    </row>
    <row r="92" spans="1:9" ht="14.25" customHeight="1" x14ac:dyDescent="0.2">
      <c r="A92" s="4" t="s">
        <v>12</v>
      </c>
      <c r="B92" s="22">
        <f t="shared" si="2"/>
        <v>-1</v>
      </c>
      <c r="C92" s="22">
        <f t="shared" si="2"/>
        <v>0</v>
      </c>
      <c r="D92" s="22">
        <f t="shared" si="2"/>
        <v>0</v>
      </c>
    </row>
    <row r="93" spans="1:9" ht="14.25" customHeight="1" x14ac:dyDescent="0.2">
      <c r="A93" s="4" t="s">
        <v>13</v>
      </c>
      <c r="B93" s="22">
        <f t="shared" si="2"/>
        <v>0</v>
      </c>
      <c r="C93" s="22">
        <f t="shared" si="2"/>
        <v>0</v>
      </c>
      <c r="D93" s="22">
        <f t="shared" si="2"/>
        <v>-2.1553</v>
      </c>
    </row>
    <row r="94" spans="1:9" ht="14.25" customHeight="1" x14ac:dyDescent="0.2">
      <c r="A94" s="4" t="s">
        <v>14</v>
      </c>
      <c r="B94" s="22">
        <f t="shared" si="2"/>
        <v>0</v>
      </c>
      <c r="C94" s="22">
        <f t="shared" si="2"/>
        <v>0</v>
      </c>
      <c r="D94" s="22">
        <f t="shared" si="2"/>
        <v>0</v>
      </c>
    </row>
    <row r="95" spans="1:9" ht="14.25" customHeight="1" x14ac:dyDescent="0.2">
      <c r="A95" s="4" t="s">
        <v>15</v>
      </c>
      <c r="B95" s="22">
        <f t="shared" si="2"/>
        <v>0</v>
      </c>
      <c r="C95" s="22">
        <f t="shared" si="2"/>
        <v>0</v>
      </c>
      <c r="D95" s="22">
        <f t="shared" si="2"/>
        <v>0</v>
      </c>
    </row>
    <row r="96" spans="1:9" ht="14.25" customHeight="1" x14ac:dyDescent="0.2">
      <c r="A96" s="4" t="s">
        <v>16</v>
      </c>
      <c r="B96" s="22">
        <f t="shared" si="2"/>
        <v>0</v>
      </c>
      <c r="C96" s="22">
        <f t="shared" si="2"/>
        <v>0</v>
      </c>
      <c r="D96" s="22">
        <f t="shared" si="2"/>
        <v>0</v>
      </c>
    </row>
    <row r="97" spans="1:7" ht="14.25" customHeight="1" x14ac:dyDescent="0.2"/>
    <row r="98" spans="1:7" ht="14.25" customHeight="1" x14ac:dyDescent="0.2">
      <c r="A98" s="2" t="s">
        <v>208</v>
      </c>
    </row>
    <row r="99" spans="1:7" ht="14.25" customHeight="1" x14ac:dyDescent="0.2">
      <c r="A99" s="145" t="s">
        <v>83</v>
      </c>
      <c r="B99" s="144" t="s">
        <v>69</v>
      </c>
      <c r="C99" s="144" t="s">
        <v>70</v>
      </c>
      <c r="D99" s="144" t="s">
        <v>71</v>
      </c>
      <c r="E99" s="144" t="s">
        <v>84</v>
      </c>
      <c r="F99" s="144" t="s">
        <v>84</v>
      </c>
      <c r="G99" s="144" t="s">
        <v>84</v>
      </c>
    </row>
    <row r="100" spans="1:7" ht="14.25" customHeight="1" x14ac:dyDescent="0.2">
      <c r="A100" s="15" t="s">
        <v>46</v>
      </c>
      <c r="B100" s="6">
        <f>SUM(B51:F51)</f>
        <v>641250</v>
      </c>
      <c r="C100" s="6">
        <f>SUM(B52:F52)</f>
        <v>1154250</v>
      </c>
      <c r="D100" s="6">
        <f>SUM(B53:F53)</f>
        <v>2077650</v>
      </c>
      <c r="E100" s="6">
        <f>Parameters!$D38/Parameters!$B$5</f>
        <v>4250000</v>
      </c>
      <c r="F100" s="6">
        <f>Parameters!$D38/Parameters!$B$5</f>
        <v>4250000</v>
      </c>
      <c r="G100" s="6">
        <f>Parameters!$D38/Parameters!$B$5</f>
        <v>4250000</v>
      </c>
    </row>
    <row r="101" spans="1:7" ht="14.25" customHeight="1" x14ac:dyDescent="0.2"/>
    <row r="102" spans="1:7" ht="15" customHeight="1" x14ac:dyDescent="0.2">
      <c r="A102" s="2" t="s">
        <v>85</v>
      </c>
    </row>
    <row r="103" spans="1:7" ht="22" customHeight="1" x14ac:dyDescent="0.2">
      <c r="A103" s="144" t="s">
        <v>86</v>
      </c>
      <c r="B103" s="144" t="s">
        <v>87</v>
      </c>
      <c r="C103" s="144" t="s">
        <v>88</v>
      </c>
      <c r="D103" s="144" t="s">
        <v>89</v>
      </c>
      <c r="E103" s="144" t="s">
        <v>90</v>
      </c>
      <c r="F103" s="144" t="s">
        <v>91</v>
      </c>
      <c r="G103" s="144" t="s">
        <v>89</v>
      </c>
    </row>
    <row r="104" spans="1:7" ht="14.25" customHeight="1" x14ac:dyDescent="0.2">
      <c r="A104" s="15" t="s">
        <v>48</v>
      </c>
      <c r="B104" s="6">
        <f>B51</f>
        <v>0</v>
      </c>
      <c r="C104" s="6">
        <f>B52</f>
        <v>154250</v>
      </c>
      <c r="D104" s="6">
        <f>B53</f>
        <v>0</v>
      </c>
      <c r="E104" s="6">
        <f>SUM($B21:$G21)</f>
        <v>0</v>
      </c>
      <c r="F104" s="6">
        <f>SUM($B26:$G26)</f>
        <v>154250</v>
      </c>
      <c r="G104" s="6">
        <f t="shared" ref="G104:G108" si="3">SUM($B31:$G31)</f>
        <v>0</v>
      </c>
    </row>
    <row r="105" spans="1:7" ht="14.25" customHeight="1" x14ac:dyDescent="0.2">
      <c r="A105" s="15" t="s">
        <v>49</v>
      </c>
      <c r="B105" s="6">
        <f>C51</f>
        <v>0</v>
      </c>
      <c r="C105" s="6">
        <f>C52</f>
        <v>0</v>
      </c>
      <c r="D105" s="6">
        <f>C53</f>
        <v>0</v>
      </c>
      <c r="E105" s="6">
        <f>SUM($B22:$G22)</f>
        <v>0</v>
      </c>
      <c r="F105" s="6">
        <f>SUM($B27:$G27)</f>
        <v>0</v>
      </c>
      <c r="G105" s="6">
        <f t="shared" si="3"/>
        <v>0</v>
      </c>
    </row>
    <row r="106" spans="1:7" ht="14.25" customHeight="1" x14ac:dyDescent="0.2">
      <c r="A106" s="15" t="s">
        <v>50</v>
      </c>
      <c r="B106" s="6">
        <f>D51</f>
        <v>641250</v>
      </c>
      <c r="C106" s="6">
        <f>D52</f>
        <v>1000000</v>
      </c>
      <c r="D106" s="6">
        <f>D53</f>
        <v>1000000</v>
      </c>
      <c r="E106" s="6">
        <f>SUM($B23:$G23)</f>
        <v>641250</v>
      </c>
      <c r="F106" s="6">
        <f>SUM($B28:$G28)</f>
        <v>1000000</v>
      </c>
      <c r="G106" s="6">
        <f t="shared" si="3"/>
        <v>1000000</v>
      </c>
    </row>
    <row r="107" spans="1:7" ht="14.25" customHeight="1" x14ac:dyDescent="0.2">
      <c r="A107" s="15" t="s">
        <v>51</v>
      </c>
      <c r="B107" s="6">
        <f>E51</f>
        <v>0</v>
      </c>
      <c r="C107" s="6">
        <f>E52</f>
        <v>0</v>
      </c>
      <c r="D107" s="6">
        <f>E53</f>
        <v>1077650</v>
      </c>
      <c r="E107" s="6">
        <f>SUM($B24:$G24)</f>
        <v>0</v>
      </c>
      <c r="F107" s="6">
        <f>SUM($B29:$G29)</f>
        <v>0</v>
      </c>
      <c r="G107" s="6">
        <f t="shared" si="3"/>
        <v>1077650</v>
      </c>
    </row>
    <row r="108" spans="1:7" ht="14.25" customHeight="1" x14ac:dyDescent="0.2">
      <c r="A108" s="15" t="s">
        <v>52</v>
      </c>
      <c r="B108" s="6">
        <f>F51</f>
        <v>0</v>
      </c>
      <c r="C108" s="6">
        <f>F52</f>
        <v>0</v>
      </c>
      <c r="D108" s="6">
        <f>F53</f>
        <v>0</v>
      </c>
      <c r="E108" s="6">
        <f>SUM($B25:$G25)</f>
        <v>0</v>
      </c>
      <c r="F108" s="6">
        <f>SUM($B30:$G30)</f>
        <v>0</v>
      </c>
      <c r="G108" s="6">
        <f t="shared" si="3"/>
        <v>0</v>
      </c>
    </row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>
      <c r="A112" s="207" t="s">
        <v>92</v>
      </c>
      <c r="B112" s="207"/>
      <c r="C112" s="207"/>
      <c r="D112" s="207"/>
      <c r="E112" s="207"/>
    </row>
    <row r="113" spans="1:9" ht="15" customHeight="1" x14ac:dyDescent="0.2">
      <c r="A113" s="208"/>
      <c r="B113" s="208"/>
      <c r="C113" s="208"/>
      <c r="D113" s="208"/>
      <c r="E113" s="208"/>
      <c r="F113" s="38"/>
      <c r="G113" s="38"/>
      <c r="H113" s="38"/>
      <c r="I113" s="39"/>
    </row>
    <row r="114" spans="1:9" ht="14.25" customHeight="1" x14ac:dyDescent="0.2">
      <c r="A114" s="124" t="s">
        <v>93</v>
      </c>
      <c r="B114" s="124" t="s">
        <v>4</v>
      </c>
      <c r="C114" s="124" t="s">
        <v>5</v>
      </c>
      <c r="D114" s="124" t="s">
        <v>6</v>
      </c>
      <c r="E114" s="124" t="s">
        <v>94</v>
      </c>
    </row>
    <row r="115" spans="1:9" ht="14.25" customHeight="1" x14ac:dyDescent="0.2">
      <c r="A115" s="128" t="s">
        <v>95</v>
      </c>
      <c r="B115" s="129">
        <f>C7*Parameters!B20+C8*Parameters!E20+C9*Parameters!B21+C10*Parameters!E21+C11*Parameters!B22+C12*Parameters!E22+C13*Parameters!B23+C14*Parameters!E23+C15*Parameters!B24+C16*Parameters!E24</f>
        <v>375000</v>
      </c>
      <c r="C115" s="129">
        <f>D7*Parameters!B20+D8*Parameters!E20+D9*Parameters!B21+D10*Parameters!E21+D11*Parameters!B22+D12*Parameters!E22+D13*Parameters!B23+D14*Parameters!E23+D15*Parameters!B24+D16*Parameters!E24</f>
        <v>467550</v>
      </c>
      <c r="D115" s="129">
        <f>E7*Parameters!B20+E8*Parameters!E20+E9*Parameters!B21+E10*Parameters!E21+E11*Parameters!B22+E12*Parameters!E22+E13*Parameters!B23+E14*Parameters!E23+E15*Parameters!B24+E16*Parameters!E24</f>
        <v>849166</v>
      </c>
      <c r="E115" s="130">
        <f t="shared" ref="E115:E123" si="4">SUM(B115:D115)</f>
        <v>1691716</v>
      </c>
    </row>
    <row r="116" spans="1:9" ht="14.25" customHeight="1" x14ac:dyDescent="0.2">
      <c r="A116" s="128" t="s">
        <v>96</v>
      </c>
      <c r="B116" s="129">
        <f>(SUM(B21,C21,D21,E21,F21,G21)*Parameters!$B$5)*Parameters!C20+(SUM(B22,C22,D22,E22,F22,G22)*Parameters!$B$5)*Parameters!C21+(SUM(B23,C23,D23,E23,F23,G23)*Parameters!$B$5)*Parameters!C22+(SUM(B24,C24,D24,E24,F24,G24)*Parameters!$B$5)*Parameters!C23+(SUM(B25,C25,D25,E25,F25,G25)*Parameters!$B$5)*Parameters!C24</f>
        <v>513000</v>
      </c>
      <c r="C116" s="129">
        <f>(SUM(B26,C26,D26,E26,F26,G26)*Parameters!$B$5)*Parameters!C20+(SUM(B27,C27,D27,E27,F27,G27)*Parameters!$B$5)*Parameters!C21+(SUM(B28,C28,D28,E28,F28,G28)*Parameters!$B$5)*Parameters!C22+(SUM(B29,C29,D29,E29,F29,G29)*Parameters!$B$5)*Parameters!C23+(SUM(B30,C30,D30,E30,F30,G30)*Parameters!$B$5)*Parameters!C24</f>
        <v>923400</v>
      </c>
      <c r="D116" s="129">
        <f>(SUM(B31,C31,D31,E31,F31,G31)*Parameters!$B$5)*Parameters!C20+(SUM(B32,C32,D32,E32,F32,G32)*Parameters!$B$5)*Parameters!C21+(SUM(B33,C33,D33,E33,F33,G33)*Parameters!$B$5)*Parameters!C22+(SUM(B34,C34,D34,E34,F34,G34)*Parameters!$B$5)*Parameters!C23+(SUM(B35,C35,D35,E35,F35,G35)*Parameters!$B$5)*Parameters!C24</f>
        <v>1662120</v>
      </c>
      <c r="E116" s="130">
        <f t="shared" si="4"/>
        <v>3098520</v>
      </c>
    </row>
    <row r="117" spans="1:9" ht="14.25" customHeight="1" x14ac:dyDescent="0.2">
      <c r="A117" s="128" t="s">
        <v>97</v>
      </c>
      <c r="B117" s="129">
        <f>(C7+C8)*Parameters!$B$9+(SUM(B21,C21,D21,E21,F21,G21)*Parameters!$B$5)*Parameters!$B$10+(C9+C10)*Parameters!$B$9+(SUM(B22,C22,D22,E22,F22,G22)*Parameters!$B$5)*Parameters!$B$10+(C11+C12)*Parameters!$B$9+(SUM(B23,C23,D23,E23,F23,G23)*Parameters!$B$5)*Parameters!$B$10+(C13+C14)*Parameters!$B$9+(SUM(B24,C24,D24,E24,F24,G24)*Parameters!$B$5)*Parameters!$B$10+(C15+C16)*Parameters!$B$9+(SUM(B25,C25,D25,E25,F25,G25)*Parameters!$B$5)*Parameters!$B$10</f>
        <v>898225</v>
      </c>
      <c r="C117" s="129">
        <f>(D7+D8)*Parameters!$B$9+(SUM(B26,C26,D26,E26,F26,G26)*Parameters!$B$5)*Parameters!$B$10+(D9+D10)*Parameters!$B$9+(SUM(B27,C27,D27,E27,F27,G27)*Parameters!$B$5)*Parameters!$B$10+(D11+D12)*Parameters!$B$9+(SUM(B28,C28,D28,E28,F28,G28)*Parameters!$B$5)*Parameters!$B$10+(D13+D14)*Parameters!$B$9+(SUM(B29,C29,D29,E29,F29,G29)*Parameters!$B$5)*Parameters!$B$10+(D15+D16)*Parameters!$B$9+(SUM(B30,C30,D30,E30,F30,G30)*Parameters!$B$5)*Parameters!$B$10</f>
        <v>1383342.5</v>
      </c>
      <c r="D117" s="129">
        <f>(E7+E8)*Parameters!$B$9+(SUM(B31,C31,D31,E31,F31,G31)*Parameters!$B$5)*Parameters!$B$10+(E9+E10)*Parameters!$B$9+(SUM(B32,C32,D32,E32,F32,G32)*Parameters!$B$5)*Parameters!$B$10+(E11+E12)*Parameters!$B$9+(SUM(B33,C33,D33,E33,F33,G33)*Parameters!$B$5)*Parameters!$B$10+(E13+E14)*Parameters!$B$9+(SUM(B34,C34,D34,E34,F34,G34)*Parameters!$B$5)*Parameters!$B$10+(E15+E16)*Parameters!$B$9+(SUM(B35,C35,D35,E35,F35,G35)*Parameters!$B$5)*Parameters!$B$10</f>
        <v>2870016.5</v>
      </c>
      <c r="E117" s="130">
        <f t="shared" si="4"/>
        <v>5151584</v>
      </c>
    </row>
    <row r="118" spans="1:9" ht="14.25" customHeight="1" x14ac:dyDescent="0.2">
      <c r="A118" s="128" t="s">
        <v>98</v>
      </c>
      <c r="B118" s="129">
        <f>SUMPRODUCT(B21:G25,Parameters!$B$28:$G$32)</f>
        <v>1877625</v>
      </c>
      <c r="C118" s="129">
        <f>SUMPRODUCT(B26:G30,Parameters!$B$28:$G$32)</f>
        <v>3225475</v>
      </c>
      <c r="D118" s="129">
        <f>SUMPRODUCT(B31:G35,Parameters!$B$28:$G$32)</f>
        <v>5828355</v>
      </c>
      <c r="E118" s="130">
        <f t="shared" si="4"/>
        <v>10931455</v>
      </c>
    </row>
    <row r="119" spans="1:9" ht="14.25" customHeight="1" x14ac:dyDescent="0.2">
      <c r="A119" s="128" t="s">
        <v>110</v>
      </c>
      <c r="B119" s="129">
        <f>SUM(B21,C21,D21,E21,F21,G21)*Parameters!D42+SUM(B22,C22,D22,E22,F22,G22)*Parameters!D43+SUM(B23,C23,D23,E23,F23,G23)*Parameters!D44+SUM(B24,C24,D24,E24,F24,G24)*Parameters!D45+SUM(B25,C25,D25,E25,F25,G25)*Parameters!D46</f>
        <v>1603125</v>
      </c>
      <c r="C119" s="129">
        <f>SUM(B26,C26,D26,E26,F26,G26)*Parameters!D42+SUM(B27,C27,D27,E27,F27,G27)*Parameters!D43+SUM(B28,C28,D28,E28,F28,G28)*Parameters!D44+SUM(B29,C29,D29,E29,F29,G29)*Parameters!D45+SUM(B30,C30,D30,E30,F30,G30)*Parameters!D46</f>
        <v>3039875</v>
      </c>
      <c r="D119" s="129">
        <f>SUM(B31,C31,D31,E31,F31,G31)*Parameters!D42+SUM(B32,C32,D32,E32,F32,G32)*Parameters!D43+SUM(B33,C33,D33,E33,F33,G33)*Parameters!D44+SUM(B34,C34,D34,E34,F34,G34)*Parameters!D45+SUM(B35,C35,D35,E35,F35,G35)*Parameters!D46</f>
        <v>5732950</v>
      </c>
      <c r="E119" s="130">
        <f t="shared" si="4"/>
        <v>10375950</v>
      </c>
    </row>
    <row r="120" spans="1:9" ht="14.25" customHeight="1" x14ac:dyDescent="0.2">
      <c r="A120" s="128" t="s">
        <v>111</v>
      </c>
      <c r="B120" s="129">
        <f>(SUM(Demand!C62:C67))*Parameters!$B$7</f>
        <v>25650000</v>
      </c>
      <c r="C120" s="129">
        <f>(SUM(Demand!D62:D67))*Parameters!$B$7</f>
        <v>46170000</v>
      </c>
      <c r="D120" s="129">
        <f>(SUM(Demand!E62:E67))*Parameters!$B$7</f>
        <v>83106000</v>
      </c>
      <c r="E120" s="130">
        <f t="shared" si="4"/>
        <v>154926000</v>
      </c>
    </row>
    <row r="121" spans="1:9" ht="14.25" customHeight="1" x14ac:dyDescent="0.2">
      <c r="A121" s="128" t="s">
        <v>101</v>
      </c>
      <c r="B121" s="131">
        <f>Parameters!$B$8*SUM('Q1_ST_Louis only'!B39:B48)</f>
        <v>30000</v>
      </c>
      <c r="C121" s="131">
        <f>Parameters!$B$8*SUM('Q1_ST_Louis only'!C39:C48)</f>
        <v>0</v>
      </c>
      <c r="D121" s="131">
        <f>Parameters!$B$8*SUM('Q1_ST_Louis only'!D39:D48)</f>
        <v>9255</v>
      </c>
      <c r="E121" s="129">
        <f t="shared" si="4"/>
        <v>39255</v>
      </c>
    </row>
    <row r="122" spans="1:9" ht="14.25" customHeight="1" x14ac:dyDescent="0.2">
      <c r="A122" s="128" t="s">
        <v>102</v>
      </c>
      <c r="B122" s="132">
        <f>Parameters!$B$38</f>
        <v>20000</v>
      </c>
      <c r="C122" s="132">
        <f>Parameters!$B$38</f>
        <v>20000</v>
      </c>
      <c r="D122" s="132">
        <f>Parameters!$B$38</f>
        <v>20000</v>
      </c>
      <c r="E122" s="129">
        <f t="shared" si="4"/>
        <v>60000</v>
      </c>
    </row>
    <row r="123" spans="1:9" ht="14.25" customHeight="1" x14ac:dyDescent="0.2">
      <c r="A123" s="128" t="s">
        <v>103</v>
      </c>
      <c r="B123" s="131">
        <f>Parameters!$C$38*SUM(B51:F51)</f>
        <v>192375</v>
      </c>
      <c r="C123" s="131">
        <f>Parameters!$C$38*SUM(B52:F52)</f>
        <v>346275</v>
      </c>
      <c r="D123" s="131">
        <f>Parameters!$C$38*SUM(B53:F53)</f>
        <v>623295</v>
      </c>
      <c r="E123" s="129">
        <f t="shared" si="4"/>
        <v>1161945</v>
      </c>
    </row>
    <row r="124" spans="1:9" ht="14.25" customHeight="1" x14ac:dyDescent="0.2">
      <c r="A124" s="125" t="s">
        <v>104</v>
      </c>
      <c r="B124" s="126">
        <f t="shared" ref="B124:E124" si="5">SUM(B115:B123)</f>
        <v>31159350</v>
      </c>
      <c r="C124" s="126">
        <f t="shared" si="5"/>
        <v>55575917.5</v>
      </c>
      <c r="D124" s="126">
        <f t="shared" si="5"/>
        <v>100701157.5</v>
      </c>
      <c r="E124" s="127">
        <f t="shared" si="5"/>
        <v>187436425</v>
      </c>
    </row>
    <row r="125" spans="1:9" ht="14.25" customHeight="1" x14ac:dyDescent="0.2"/>
    <row r="126" spans="1:9" ht="15" customHeight="1" x14ac:dyDescent="0.2">
      <c r="F126" s="38"/>
      <c r="G126" s="38"/>
      <c r="H126" s="38"/>
      <c r="I126" s="39"/>
    </row>
    <row r="127" spans="1:9" ht="14.25" customHeight="1" x14ac:dyDescent="0.2"/>
    <row r="128" spans="1:9" ht="14.25" customHeight="1" x14ac:dyDescent="0.2">
      <c r="A128" s="209" t="s">
        <v>258</v>
      </c>
      <c r="B128" s="209"/>
      <c r="C128" s="209"/>
      <c r="D128" s="209"/>
      <c r="E128" s="119"/>
    </row>
    <row r="129" spans="1:9" ht="14.25" customHeight="1" x14ac:dyDescent="0.2">
      <c r="A129" s="115" t="s">
        <v>209</v>
      </c>
      <c r="B129" s="118">
        <v>2025</v>
      </c>
      <c r="C129" s="118">
        <v>2026</v>
      </c>
      <c r="D129" s="118">
        <v>2027</v>
      </c>
    </row>
    <row r="130" spans="1:9" ht="14.25" customHeight="1" x14ac:dyDescent="0.2">
      <c r="A130" s="116" t="s">
        <v>210</v>
      </c>
      <c r="B130" s="120">
        <f>Demand!$C$68</f>
        <v>2565000</v>
      </c>
      <c r="C130" s="120">
        <f>Demand!$D$68</f>
        <v>4617000</v>
      </c>
      <c r="D130" s="120">
        <f>Demand!$E$68</f>
        <v>8310600</v>
      </c>
    </row>
    <row r="131" spans="1:9" ht="14.25" customHeight="1" x14ac:dyDescent="0.2">
      <c r="A131" s="116" t="s">
        <v>211</v>
      </c>
      <c r="B131" s="121">
        <v>4000000</v>
      </c>
      <c r="C131" s="121">
        <v>4000000</v>
      </c>
      <c r="D131" s="121">
        <v>4000000</v>
      </c>
    </row>
    <row r="132" spans="1:9" ht="14.25" customHeight="1" x14ac:dyDescent="0.2">
      <c r="A132" s="116" t="s">
        <v>213</v>
      </c>
      <c r="B132" s="120">
        <f>MIN($M$61,$M131)</f>
        <v>2565000</v>
      </c>
      <c r="C132" s="120">
        <f>MIN($N$61,$N$62)</f>
        <v>4000000</v>
      </c>
      <c r="D132" s="120">
        <f>MIN($O$61,$O$62)</f>
        <v>4000000</v>
      </c>
    </row>
    <row r="133" spans="1:9" ht="14.25" customHeight="1" x14ac:dyDescent="0.2">
      <c r="A133" s="116" t="s">
        <v>214</v>
      </c>
      <c r="B133" s="120">
        <f>MAX(0,$M$61-$M$62)</f>
        <v>0</v>
      </c>
      <c r="C133" s="120">
        <f>MAX(0,$N$61-$N$62)</f>
        <v>617000</v>
      </c>
      <c r="D133" s="120">
        <f>MAX(0,$O$61-$O$62)</f>
        <v>4310600</v>
      </c>
    </row>
    <row r="134" spans="1:9" ht="14.25" customHeight="1" x14ac:dyDescent="0.2">
      <c r="A134" s="117" t="s">
        <v>212</v>
      </c>
      <c r="B134" s="122">
        <f>$M$64*14</f>
        <v>0</v>
      </c>
      <c r="C134" s="122">
        <f>$N$64*14</f>
        <v>8638000</v>
      </c>
      <c r="D134" s="122">
        <f>$O$64*14</f>
        <v>60348400</v>
      </c>
    </row>
    <row r="135" spans="1:9" ht="14.25" customHeight="1" x14ac:dyDescent="0.2"/>
    <row r="136" spans="1:9" ht="14.25" customHeight="1" x14ac:dyDescent="0.2"/>
    <row r="137" spans="1:9" ht="14.25" customHeight="1" x14ac:dyDescent="0.2">
      <c r="A137" s="42"/>
    </row>
    <row r="138" spans="1:9" ht="14.25" customHeight="1" x14ac:dyDescent="0.2">
      <c r="A138" s="37"/>
    </row>
    <row r="139" spans="1:9" ht="14.25" customHeight="1" x14ac:dyDescent="0.2">
      <c r="A139" s="203"/>
      <c r="B139" s="183"/>
      <c r="C139" s="183"/>
      <c r="D139" s="183"/>
      <c r="E139" s="183"/>
      <c r="F139" s="183"/>
      <c r="G139" s="183"/>
      <c r="H139" s="183"/>
      <c r="I139" s="183"/>
    </row>
    <row r="140" spans="1:9" ht="14.25" customHeight="1" x14ac:dyDescent="0.2"/>
    <row r="141" spans="1:9" ht="14.25" customHeight="1" x14ac:dyDescent="0.2"/>
    <row r="142" spans="1:9" ht="14.25" customHeight="1" x14ac:dyDescent="0.2"/>
    <row r="143" spans="1:9" ht="14.25" customHeight="1" x14ac:dyDescent="0.2"/>
    <row r="144" spans="1:9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</sheetData>
  <mergeCells count="13">
    <mergeCell ref="A139:I139"/>
    <mergeCell ref="A58:I58"/>
    <mergeCell ref="A112:E113"/>
    <mergeCell ref="A128:D128"/>
    <mergeCell ref="A1:I1"/>
    <mergeCell ref="A2:I2"/>
    <mergeCell ref="A4:I4"/>
    <mergeCell ref="A5:I5"/>
    <mergeCell ref="A19:I19"/>
    <mergeCell ref="A59:I59"/>
    <mergeCell ref="A68:I68"/>
    <mergeCell ref="A76:I76"/>
    <mergeCell ref="A85:I85"/>
  </mergeCells>
  <pageMargins left="0.75" right="0.75" top="1" bottom="1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8"/>
  <sheetViews>
    <sheetView tabSelected="1" topLeftCell="A53" zoomScale="81" workbookViewId="0">
      <selection activeCell="B87" sqref="B87:D96"/>
    </sheetView>
  </sheetViews>
  <sheetFormatPr baseColWidth="10" defaultColWidth="14.5" defaultRowHeight="15" customHeight="1" x14ac:dyDescent="0.2"/>
  <cols>
    <col min="1" max="1" width="43.33203125" customWidth="1"/>
    <col min="2" max="3" width="13" customWidth="1"/>
    <col min="4" max="4" width="16.1640625" customWidth="1"/>
    <col min="5" max="5" width="20.5" customWidth="1"/>
    <col min="6" max="9" width="13" customWidth="1"/>
    <col min="10" max="26" width="8.6640625" customWidth="1"/>
  </cols>
  <sheetData>
    <row r="1" spans="1:9" ht="27.75" customHeight="1" x14ac:dyDescent="0.2">
      <c r="A1" s="187" t="s">
        <v>0</v>
      </c>
      <c r="B1" s="185"/>
      <c r="C1" s="185"/>
      <c r="D1" s="185"/>
      <c r="E1" s="185"/>
      <c r="F1" s="185"/>
      <c r="G1" s="185"/>
      <c r="H1" s="185"/>
      <c r="I1" s="186"/>
    </row>
    <row r="2" spans="1:9" ht="14.25" customHeight="1" x14ac:dyDescent="0.2">
      <c r="A2" s="188"/>
      <c r="B2" s="183"/>
      <c r="C2" s="183"/>
      <c r="D2" s="183"/>
      <c r="E2" s="183"/>
      <c r="F2" s="183"/>
      <c r="G2" s="183"/>
      <c r="H2" s="183"/>
      <c r="I2" s="183"/>
    </row>
    <row r="3" spans="1:9" ht="14.25" customHeight="1" x14ac:dyDescent="0.2"/>
    <row r="4" spans="1:9" ht="15" customHeight="1" x14ac:dyDescent="0.2">
      <c r="A4" s="184" t="s">
        <v>1</v>
      </c>
      <c r="B4" s="185"/>
      <c r="C4" s="185"/>
      <c r="D4" s="185"/>
      <c r="E4" s="185"/>
      <c r="F4" s="185"/>
      <c r="G4" s="185"/>
      <c r="H4" s="185"/>
      <c r="I4" s="186"/>
    </row>
    <row r="5" spans="1:9" ht="14.25" customHeight="1" x14ac:dyDescent="0.2">
      <c r="A5" s="182" t="s">
        <v>2</v>
      </c>
      <c r="B5" s="183"/>
      <c r="C5" s="183"/>
      <c r="D5" s="183"/>
      <c r="E5" s="183"/>
      <c r="F5" s="183"/>
      <c r="G5" s="183"/>
      <c r="H5" s="183"/>
      <c r="I5" s="183"/>
    </row>
    <row r="6" spans="1:9" ht="14.25" customHeight="1" x14ac:dyDescent="0.2">
      <c r="A6" s="3" t="s">
        <v>3</v>
      </c>
      <c r="B6" s="146">
        <v>2024</v>
      </c>
      <c r="C6" s="3" t="s">
        <v>4</v>
      </c>
      <c r="D6" s="3" t="s">
        <v>5</v>
      </c>
      <c r="E6" s="3" t="s">
        <v>6</v>
      </c>
    </row>
    <row r="7" spans="1:9" ht="14.25" customHeight="1" x14ac:dyDescent="0.2">
      <c r="A7" s="4" t="s">
        <v>7</v>
      </c>
      <c r="B7" s="147">
        <v>0</v>
      </c>
      <c r="C7" s="106">
        <v>0</v>
      </c>
      <c r="D7" s="106">
        <v>0</v>
      </c>
      <c r="E7" s="106">
        <v>0</v>
      </c>
    </row>
    <row r="8" spans="1:9" ht="14.25" customHeight="1" x14ac:dyDescent="0.2">
      <c r="A8" s="4" t="s">
        <v>8</v>
      </c>
      <c r="B8" s="147">
        <v>0</v>
      </c>
      <c r="C8" s="106">
        <v>0</v>
      </c>
      <c r="D8" s="106">
        <v>0</v>
      </c>
      <c r="E8" s="106">
        <v>0</v>
      </c>
    </row>
    <row r="9" spans="1:9" ht="14.25" customHeight="1" x14ac:dyDescent="0.2">
      <c r="A9" s="4" t="s">
        <v>9</v>
      </c>
      <c r="B9" s="147">
        <v>0</v>
      </c>
      <c r="C9" s="106">
        <v>0</v>
      </c>
      <c r="D9" s="106">
        <v>1</v>
      </c>
      <c r="E9" s="106">
        <v>0</v>
      </c>
    </row>
    <row r="10" spans="1:9" ht="14.25" customHeight="1" x14ac:dyDescent="0.2">
      <c r="A10" s="4" t="s">
        <v>10</v>
      </c>
      <c r="B10" s="147">
        <v>0</v>
      </c>
      <c r="C10" s="106">
        <v>0</v>
      </c>
      <c r="D10" s="106">
        <v>0</v>
      </c>
      <c r="E10" s="106">
        <v>1</v>
      </c>
    </row>
    <row r="11" spans="1:9" ht="14.25" customHeight="1" x14ac:dyDescent="0.2">
      <c r="A11" s="4" t="s">
        <v>11</v>
      </c>
      <c r="B11" s="147">
        <v>1</v>
      </c>
      <c r="C11" s="106">
        <v>0</v>
      </c>
      <c r="D11" s="106">
        <v>0</v>
      </c>
      <c r="E11" s="106">
        <v>0</v>
      </c>
    </row>
    <row r="12" spans="1:9" ht="14.25" customHeight="1" x14ac:dyDescent="0.2">
      <c r="A12" s="4" t="s">
        <v>12</v>
      </c>
      <c r="B12" s="147">
        <v>0</v>
      </c>
      <c r="C12" s="106">
        <v>1</v>
      </c>
      <c r="D12" s="106">
        <v>1</v>
      </c>
      <c r="E12" s="106">
        <v>1</v>
      </c>
    </row>
    <row r="13" spans="1:9" ht="14.25" customHeight="1" x14ac:dyDescent="0.2">
      <c r="A13" s="4" t="s">
        <v>13</v>
      </c>
      <c r="B13" s="147">
        <v>0</v>
      </c>
      <c r="C13" s="106">
        <v>0</v>
      </c>
      <c r="D13" s="106">
        <v>0</v>
      </c>
      <c r="E13" s="106">
        <v>1</v>
      </c>
    </row>
    <row r="14" spans="1:9" ht="14.25" customHeight="1" x14ac:dyDescent="0.2">
      <c r="A14" s="4" t="s">
        <v>14</v>
      </c>
      <c r="B14" s="147">
        <v>0</v>
      </c>
      <c r="C14" s="106">
        <v>0</v>
      </c>
      <c r="D14" s="106">
        <v>0</v>
      </c>
      <c r="E14" s="106">
        <v>0</v>
      </c>
    </row>
    <row r="15" spans="1:9" ht="14.25" customHeight="1" x14ac:dyDescent="0.2">
      <c r="A15" s="4" t="s">
        <v>15</v>
      </c>
      <c r="B15" s="147">
        <v>0</v>
      </c>
      <c r="C15" s="106">
        <v>0</v>
      </c>
      <c r="D15" s="106">
        <v>0</v>
      </c>
      <c r="E15" s="106">
        <v>0</v>
      </c>
    </row>
    <row r="16" spans="1:9" ht="14.25" customHeight="1" x14ac:dyDescent="0.2">
      <c r="A16" s="4" t="s">
        <v>16</v>
      </c>
      <c r="B16" s="147">
        <v>0</v>
      </c>
      <c r="C16" s="106">
        <v>0</v>
      </c>
      <c r="D16" s="106">
        <v>0</v>
      </c>
      <c r="E16" s="106">
        <v>0</v>
      </c>
    </row>
    <row r="17" spans="1:9" ht="14.25" customHeight="1" x14ac:dyDescent="0.2">
      <c r="A17" s="1"/>
    </row>
    <row r="18" spans="1:9" ht="14.25" customHeight="1" x14ac:dyDescent="0.2"/>
    <row r="19" spans="1:9" ht="14.25" customHeight="1" x14ac:dyDescent="0.2">
      <c r="A19" s="182" t="s">
        <v>17</v>
      </c>
      <c r="B19" s="183"/>
      <c r="C19" s="183"/>
      <c r="D19" s="183"/>
      <c r="E19" s="183"/>
      <c r="F19" s="183"/>
      <c r="G19" s="183"/>
      <c r="H19" s="183"/>
      <c r="I19" s="183"/>
    </row>
    <row r="20" spans="1:9" ht="14.25" customHeight="1" x14ac:dyDescent="0.2">
      <c r="A20" s="3" t="s">
        <v>105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3" t="s">
        <v>26</v>
      </c>
    </row>
    <row r="21" spans="1:9" ht="14.25" customHeight="1" x14ac:dyDescent="0.2">
      <c r="A21" s="4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25" si="0">SUM(B21:G21)</f>
        <v>0</v>
      </c>
      <c r="I21" s="31" t="s">
        <v>4</v>
      </c>
    </row>
    <row r="22" spans="1:9" ht="14.25" customHeight="1" x14ac:dyDescent="0.2">
      <c r="A22" s="4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0"/>
        <v>0</v>
      </c>
      <c r="I22" s="31" t="s">
        <v>4</v>
      </c>
    </row>
    <row r="23" spans="1:9" ht="14.25" customHeight="1" x14ac:dyDescent="0.2">
      <c r="A23" s="4" t="s">
        <v>29</v>
      </c>
      <c r="B23" s="5">
        <v>144000</v>
      </c>
      <c r="C23" s="5">
        <v>90000</v>
      </c>
      <c r="D23" s="5">
        <v>72000</v>
      </c>
      <c r="E23" s="5">
        <v>99000</v>
      </c>
      <c r="F23" s="5">
        <v>157500</v>
      </c>
      <c r="G23" s="5">
        <v>78750</v>
      </c>
      <c r="H23" s="6">
        <f t="shared" si="0"/>
        <v>641250</v>
      </c>
      <c r="I23" s="31" t="s">
        <v>4</v>
      </c>
    </row>
    <row r="24" spans="1:9" ht="14.25" customHeight="1" x14ac:dyDescent="0.2">
      <c r="A24" s="4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0"/>
        <v>0</v>
      </c>
      <c r="I24" s="31" t="s">
        <v>4</v>
      </c>
    </row>
    <row r="25" spans="1:9" ht="14.25" customHeight="1" thickBot="1" x14ac:dyDescent="0.25">
      <c r="A25" s="33" t="s">
        <v>31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5">
        <f t="shared" si="0"/>
        <v>0</v>
      </c>
      <c r="I25" s="36" t="s">
        <v>4</v>
      </c>
    </row>
    <row r="26" spans="1:9" ht="14.25" customHeight="1" x14ac:dyDescent="0.2">
      <c r="A26" s="29" t="s">
        <v>32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30">
        <f t="shared" ref="H26:H30" si="1">SUM(B26:G26)</f>
        <v>0</v>
      </c>
      <c r="I26" s="31" t="s">
        <v>5</v>
      </c>
    </row>
    <row r="27" spans="1:9" ht="14.25" customHeight="1" x14ac:dyDescent="0.2">
      <c r="A27" s="4" t="s">
        <v>33</v>
      </c>
      <c r="B27" s="5">
        <v>259200</v>
      </c>
      <c r="C27" s="5">
        <v>162000</v>
      </c>
      <c r="D27" s="5">
        <v>0</v>
      </c>
      <c r="E27" s="5">
        <v>0</v>
      </c>
      <c r="F27" s="5">
        <v>0</v>
      </c>
      <c r="G27" s="5">
        <v>0</v>
      </c>
      <c r="H27" s="6">
        <f t="shared" si="1"/>
        <v>421200</v>
      </c>
      <c r="I27" s="31" t="s">
        <v>5</v>
      </c>
    </row>
    <row r="28" spans="1:9" ht="14.25" customHeight="1" x14ac:dyDescent="0.2">
      <c r="A28" s="4" t="s">
        <v>34</v>
      </c>
      <c r="B28" s="5">
        <v>0</v>
      </c>
      <c r="C28" s="5">
        <v>0</v>
      </c>
      <c r="D28" s="5">
        <v>129600</v>
      </c>
      <c r="E28" s="5">
        <v>178200</v>
      </c>
      <c r="F28" s="5">
        <v>283500</v>
      </c>
      <c r="G28" s="5">
        <v>141750</v>
      </c>
      <c r="H28" s="6">
        <f t="shared" si="1"/>
        <v>733050</v>
      </c>
      <c r="I28" s="31" t="s">
        <v>5</v>
      </c>
    </row>
    <row r="29" spans="1:9" ht="14.25" customHeight="1" x14ac:dyDescent="0.2">
      <c r="A29" s="4" t="s">
        <v>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f t="shared" si="1"/>
        <v>0</v>
      </c>
      <c r="I29" s="31" t="s">
        <v>5</v>
      </c>
    </row>
    <row r="30" spans="1:9" ht="14.25" customHeight="1" thickBot="1" x14ac:dyDescent="0.25">
      <c r="A30" s="33" t="s">
        <v>36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5">
        <f t="shared" si="1"/>
        <v>0</v>
      </c>
      <c r="I30" s="36" t="s">
        <v>5</v>
      </c>
    </row>
    <row r="31" spans="1:9" ht="14.25" customHeight="1" x14ac:dyDescent="0.2">
      <c r="A31" s="29" t="s">
        <v>37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30">
        <f t="shared" ref="H31:H35" si="2">SUM(B31:G31)</f>
        <v>0</v>
      </c>
      <c r="I31" s="31" t="s">
        <v>6</v>
      </c>
    </row>
    <row r="32" spans="1:9" ht="14.25" customHeight="1" x14ac:dyDescent="0.2">
      <c r="A32" s="4" t="s">
        <v>38</v>
      </c>
      <c r="B32" s="5">
        <v>466560</v>
      </c>
      <c r="C32" s="5">
        <v>291600</v>
      </c>
      <c r="D32" s="5">
        <v>64340</v>
      </c>
      <c r="E32" s="5">
        <v>0</v>
      </c>
      <c r="F32" s="5">
        <v>0</v>
      </c>
      <c r="G32" s="5">
        <v>0</v>
      </c>
      <c r="H32" s="6">
        <f t="shared" si="2"/>
        <v>822500</v>
      </c>
      <c r="I32" s="31" t="s">
        <v>6</v>
      </c>
    </row>
    <row r="33" spans="1:9" ht="14.25" customHeight="1" x14ac:dyDescent="0.2">
      <c r="A33" s="4" t="s">
        <v>39</v>
      </c>
      <c r="B33" s="5">
        <v>0</v>
      </c>
      <c r="C33" s="5">
        <v>0</v>
      </c>
      <c r="D33" s="5">
        <v>168940</v>
      </c>
      <c r="E33" s="5">
        <v>320760</v>
      </c>
      <c r="F33" s="5">
        <v>510300</v>
      </c>
      <c r="G33" s="5">
        <v>0</v>
      </c>
      <c r="H33" s="6">
        <f t="shared" si="2"/>
        <v>1000000</v>
      </c>
      <c r="I33" s="31" t="s">
        <v>6</v>
      </c>
    </row>
    <row r="34" spans="1:9" ht="14.25" customHeight="1" x14ac:dyDescent="0.2">
      <c r="A34" s="4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255150</v>
      </c>
      <c r="H34" s="6">
        <f t="shared" si="2"/>
        <v>255150</v>
      </c>
      <c r="I34" s="31" t="s">
        <v>6</v>
      </c>
    </row>
    <row r="35" spans="1:9" ht="14.25" customHeight="1" thickBot="1" x14ac:dyDescent="0.25">
      <c r="A35" s="33" t="s">
        <v>41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5">
        <f t="shared" si="2"/>
        <v>0</v>
      </c>
      <c r="I35" s="36" t="s">
        <v>6</v>
      </c>
    </row>
    <row r="36" spans="1:9" ht="14.25" customHeight="1" x14ac:dyDescent="0.2">
      <c r="A36" s="32"/>
      <c r="B36" s="32"/>
      <c r="C36" s="32"/>
      <c r="D36" s="32"/>
      <c r="E36" s="32"/>
      <c r="F36" s="32"/>
      <c r="G36" s="32"/>
      <c r="H36" s="32"/>
      <c r="I36" s="32"/>
    </row>
    <row r="37" spans="1:9" ht="14.25" customHeight="1" x14ac:dyDescent="0.2"/>
    <row r="38" spans="1:9" ht="14.25" customHeight="1" x14ac:dyDescent="0.2">
      <c r="A38" s="3" t="s">
        <v>109</v>
      </c>
      <c r="B38" s="3" t="s">
        <v>4</v>
      </c>
      <c r="C38" s="3" t="s">
        <v>5</v>
      </c>
      <c r="D38" s="3" t="s">
        <v>6</v>
      </c>
    </row>
    <row r="39" spans="1:9" ht="14.25" customHeight="1" x14ac:dyDescent="0.2">
      <c r="A39" s="4" t="s">
        <v>7</v>
      </c>
      <c r="B39" s="106">
        <v>0</v>
      </c>
      <c r="C39" s="106">
        <v>0</v>
      </c>
      <c r="D39" s="106">
        <v>0</v>
      </c>
    </row>
    <row r="40" spans="1:9" ht="14.25" customHeight="1" x14ac:dyDescent="0.2">
      <c r="A40" s="4" t="s">
        <v>8</v>
      </c>
      <c r="B40" s="106">
        <v>0</v>
      </c>
      <c r="C40" s="106">
        <v>0</v>
      </c>
      <c r="D40" s="106">
        <v>0</v>
      </c>
    </row>
    <row r="41" spans="1:9" ht="14.25" customHeight="1" x14ac:dyDescent="0.2">
      <c r="A41" s="4" t="s">
        <v>9</v>
      </c>
      <c r="B41" s="106">
        <v>0</v>
      </c>
      <c r="C41" s="106">
        <v>0</v>
      </c>
      <c r="D41" s="106">
        <v>1</v>
      </c>
    </row>
    <row r="42" spans="1:9" ht="14.25" customHeight="1" x14ac:dyDescent="0.2">
      <c r="A42" s="4" t="s">
        <v>10</v>
      </c>
      <c r="B42" s="106">
        <v>0</v>
      </c>
      <c r="C42" s="106">
        <v>0</v>
      </c>
      <c r="D42" s="106">
        <v>0</v>
      </c>
    </row>
    <row r="43" spans="1:9" ht="14.25" customHeight="1" x14ac:dyDescent="0.2">
      <c r="A43" s="4" t="s">
        <v>11</v>
      </c>
      <c r="B43" s="106">
        <v>1</v>
      </c>
      <c r="C43" s="106">
        <v>0</v>
      </c>
      <c r="D43" s="106">
        <v>0</v>
      </c>
    </row>
    <row r="44" spans="1:9" ht="14.25" customHeight="1" x14ac:dyDescent="0.2">
      <c r="A44" s="4" t="s">
        <v>12</v>
      </c>
      <c r="B44" s="106">
        <v>0</v>
      </c>
      <c r="C44" s="106">
        <v>0</v>
      </c>
      <c r="D44" s="106">
        <v>0</v>
      </c>
    </row>
    <row r="45" spans="1:9" ht="14.25" customHeight="1" x14ac:dyDescent="0.2">
      <c r="A45" s="4" t="s">
        <v>13</v>
      </c>
      <c r="B45" s="106">
        <v>0</v>
      </c>
      <c r="C45" s="106">
        <v>0</v>
      </c>
      <c r="D45" s="106">
        <v>0</v>
      </c>
    </row>
    <row r="46" spans="1:9" ht="14.25" customHeight="1" x14ac:dyDescent="0.2">
      <c r="A46" s="4" t="s">
        <v>14</v>
      </c>
      <c r="B46" s="106">
        <v>0</v>
      </c>
      <c r="C46" s="106">
        <v>0</v>
      </c>
      <c r="D46" s="106">
        <v>0</v>
      </c>
    </row>
    <row r="47" spans="1:9" ht="14.25" customHeight="1" x14ac:dyDescent="0.2">
      <c r="A47" s="4" t="s">
        <v>15</v>
      </c>
      <c r="B47" s="106">
        <v>0</v>
      </c>
      <c r="C47" s="106">
        <v>0</v>
      </c>
      <c r="D47" s="106">
        <v>0</v>
      </c>
    </row>
    <row r="48" spans="1:9" ht="14.25" customHeight="1" x14ac:dyDescent="0.2">
      <c r="A48" s="4" t="s">
        <v>16</v>
      </c>
      <c r="B48" s="106">
        <v>0</v>
      </c>
      <c r="C48" s="106">
        <v>0</v>
      </c>
      <c r="D48" s="106">
        <v>0</v>
      </c>
    </row>
    <row r="49" spans="1:10" ht="14.25" customHeight="1" x14ac:dyDescent="0.2"/>
    <row r="50" spans="1:10" ht="14.25" customHeight="1" x14ac:dyDescent="0.2">
      <c r="A50" s="3" t="s">
        <v>47</v>
      </c>
      <c r="B50" s="15" t="s">
        <v>48</v>
      </c>
      <c r="C50" s="15" t="s">
        <v>49</v>
      </c>
      <c r="D50" s="15" t="s">
        <v>50</v>
      </c>
      <c r="E50" s="15" t="s">
        <v>51</v>
      </c>
      <c r="F50" s="15" t="s">
        <v>52</v>
      </c>
      <c r="G50" s="3" t="s">
        <v>25</v>
      </c>
      <c r="H50" s="3" t="s">
        <v>26</v>
      </c>
    </row>
    <row r="51" spans="1:10" ht="14.25" customHeight="1" x14ac:dyDescent="0.2">
      <c r="A51" s="16" t="s">
        <v>46</v>
      </c>
      <c r="B51" s="9">
        <v>0</v>
      </c>
      <c r="C51" s="9">
        <v>0</v>
      </c>
      <c r="D51" s="9">
        <v>641250</v>
      </c>
      <c r="E51" s="9">
        <v>0</v>
      </c>
      <c r="F51" s="9">
        <v>0</v>
      </c>
      <c r="G51" s="10">
        <f t="shared" ref="G51:G53" si="3">SUM(B51:F51)</f>
        <v>641250</v>
      </c>
      <c r="H51" s="11" t="s">
        <v>4</v>
      </c>
    </row>
    <row r="52" spans="1:10" ht="14.25" customHeight="1" x14ac:dyDescent="0.2">
      <c r="A52" s="16" t="s">
        <v>46</v>
      </c>
      <c r="B52" s="9">
        <v>0</v>
      </c>
      <c r="C52" s="9">
        <v>421200</v>
      </c>
      <c r="D52" s="9">
        <v>733050</v>
      </c>
      <c r="E52" s="9">
        <v>0</v>
      </c>
      <c r="F52" s="9">
        <v>0</v>
      </c>
      <c r="G52" s="10">
        <f t="shared" si="3"/>
        <v>1154250</v>
      </c>
      <c r="H52" s="11" t="s">
        <v>5</v>
      </c>
    </row>
    <row r="53" spans="1:10" ht="14.25" customHeight="1" x14ac:dyDescent="0.2">
      <c r="A53" s="16" t="s">
        <v>46</v>
      </c>
      <c r="B53" s="9">
        <v>0</v>
      </c>
      <c r="C53" s="9">
        <v>822500</v>
      </c>
      <c r="D53" s="9">
        <v>1000000</v>
      </c>
      <c r="E53" s="9">
        <v>255150</v>
      </c>
      <c r="F53" s="9">
        <v>0</v>
      </c>
      <c r="G53" s="10">
        <f t="shared" si="3"/>
        <v>2077650</v>
      </c>
      <c r="H53" s="11" t="s">
        <v>6</v>
      </c>
    </row>
    <row r="54" spans="1:10" ht="14.25" customHeight="1" x14ac:dyDescent="0.2"/>
    <row r="55" spans="1:10" ht="14.25" customHeight="1" x14ac:dyDescent="0.2"/>
    <row r="56" spans="1:10" ht="14.25" customHeight="1" x14ac:dyDescent="0.2"/>
    <row r="57" spans="1:10" ht="14.25" customHeight="1" x14ac:dyDescent="0.2"/>
    <row r="58" spans="1:10" ht="15" customHeight="1" x14ac:dyDescent="0.2">
      <c r="A58" s="204" t="s">
        <v>255</v>
      </c>
      <c r="B58" s="205"/>
      <c r="C58" s="205"/>
      <c r="D58" s="205"/>
      <c r="E58" s="205"/>
      <c r="F58" s="205"/>
      <c r="G58" s="205"/>
      <c r="H58" s="205"/>
      <c r="I58" s="206"/>
    </row>
    <row r="59" spans="1:10" ht="14.25" customHeight="1" x14ac:dyDescent="0.2">
      <c r="A59" s="182" t="s">
        <v>54</v>
      </c>
      <c r="B59" s="183"/>
      <c r="C59" s="183"/>
      <c r="D59" s="183"/>
      <c r="E59" s="183"/>
      <c r="F59" s="183"/>
      <c r="G59" s="183"/>
      <c r="H59" s="183"/>
      <c r="I59" s="183"/>
    </row>
    <row r="60" spans="1:10" ht="14.25" customHeight="1" x14ac:dyDescent="0.2">
      <c r="A60" s="144" t="s">
        <v>55</v>
      </c>
      <c r="B60" s="144" t="s">
        <v>56</v>
      </c>
      <c r="C60" s="144" t="s">
        <v>57</v>
      </c>
      <c r="D60" s="144" t="s">
        <v>58</v>
      </c>
      <c r="E60" s="144" t="s">
        <v>59</v>
      </c>
      <c r="F60" s="144" t="s">
        <v>60</v>
      </c>
      <c r="G60" s="144" t="s">
        <v>61</v>
      </c>
    </row>
    <row r="61" spans="1:10" ht="14.25" customHeight="1" x14ac:dyDescent="0.2">
      <c r="A61" s="15" t="s">
        <v>19</v>
      </c>
      <c r="B61" s="6">
        <f>SUM(B21,B22,B23,B24,B25)</f>
        <v>144000</v>
      </c>
      <c r="C61" s="6">
        <f>SUM(B26,B27,B28,B29,B30)</f>
        <v>259200</v>
      </c>
      <c r="D61" s="6">
        <f>SUM(B31,B32,B33,B34,B35)</f>
        <v>466560</v>
      </c>
      <c r="E61" s="6">
        <f>Demand!C62/Parameters!$B$5</f>
        <v>144000</v>
      </c>
      <c r="F61" s="6">
        <f>Demand!D62/Parameters!$B$5</f>
        <v>259200</v>
      </c>
      <c r="G61" s="6">
        <f>Demand!E62/Parameters!$B$5</f>
        <v>466560</v>
      </c>
    </row>
    <row r="62" spans="1:10" ht="14.25" customHeight="1" x14ac:dyDescent="0.2">
      <c r="A62" s="15" t="s">
        <v>62</v>
      </c>
      <c r="B62" s="6">
        <f>SUM(C21,C22,C23,C24,C25)</f>
        <v>90000</v>
      </c>
      <c r="C62" s="6">
        <f>SUM(C26,C27,C28,C29,C30)</f>
        <v>162000</v>
      </c>
      <c r="D62" s="6">
        <f>SUM(C31,C32,C33,C34,C35)</f>
        <v>291600</v>
      </c>
      <c r="E62" s="6">
        <f>Demand!C63/Parameters!$B$5</f>
        <v>90000</v>
      </c>
      <c r="F62" s="6">
        <f>Demand!D63/Parameters!$B$5</f>
        <v>162000</v>
      </c>
      <c r="G62" s="6">
        <f>Demand!E63/Parameters!$B$5</f>
        <v>291600</v>
      </c>
      <c r="I62" s="19"/>
      <c r="J62" s="19"/>
    </row>
    <row r="63" spans="1:10" ht="14.25" customHeight="1" x14ac:dyDescent="0.2">
      <c r="A63" s="15" t="s">
        <v>63</v>
      </c>
      <c r="B63" s="6">
        <f>SUM(D21,D22,D23,D24,D25)</f>
        <v>72000</v>
      </c>
      <c r="C63" s="6">
        <f>SUM(D26,D27,D28,D29,D30)</f>
        <v>129600</v>
      </c>
      <c r="D63" s="6">
        <f>SUM(D31,D32,D33,D34,D35)</f>
        <v>233280</v>
      </c>
      <c r="E63" s="6">
        <f>Demand!C64/Parameters!$B$5</f>
        <v>72000</v>
      </c>
      <c r="F63" s="6">
        <f>Demand!D64/Parameters!$B$5</f>
        <v>129600</v>
      </c>
      <c r="G63" s="6">
        <f>Demand!E64/Parameters!$B$5</f>
        <v>233280</v>
      </c>
    </row>
    <row r="64" spans="1:10" ht="14.25" customHeight="1" x14ac:dyDescent="0.2">
      <c r="A64" s="15" t="s">
        <v>64</v>
      </c>
      <c r="B64" s="6">
        <f>SUM(E21,E22,E23,E24,E25)</f>
        <v>99000</v>
      </c>
      <c r="C64" s="6">
        <f>SUM(E26,E27,E28,E29,E30)</f>
        <v>178200</v>
      </c>
      <c r="D64" s="6">
        <f>SUM(E31,E32,E33,E34,E35)</f>
        <v>320760</v>
      </c>
      <c r="E64" s="6">
        <f>Demand!C65/Parameters!$B$5</f>
        <v>99000</v>
      </c>
      <c r="F64" s="6">
        <f>Demand!D65/Parameters!$B$5</f>
        <v>178200</v>
      </c>
      <c r="G64" s="6">
        <f>Demand!E65/Parameters!$B$5</f>
        <v>320760</v>
      </c>
    </row>
    <row r="65" spans="1:9" ht="14.25" customHeight="1" x14ac:dyDescent="0.2">
      <c r="A65" s="15" t="s">
        <v>65</v>
      </c>
      <c r="B65" s="6">
        <f>SUM(F21,F22,F23,F24,F25)</f>
        <v>157500</v>
      </c>
      <c r="C65" s="6">
        <f>SUM(F26,F27,F28,F29,F30)</f>
        <v>283500</v>
      </c>
      <c r="D65" s="6">
        <f>SUM(F31,F32,F33,F34,F35)</f>
        <v>510300</v>
      </c>
      <c r="E65" s="6">
        <f>Demand!C66/Parameters!$B$5</f>
        <v>157500</v>
      </c>
      <c r="F65" s="6">
        <f>Demand!D66/Parameters!$B$5</f>
        <v>283500</v>
      </c>
      <c r="G65" s="6">
        <f>Demand!E66/Parameters!$B$5</f>
        <v>510300</v>
      </c>
    </row>
    <row r="66" spans="1:9" ht="14.25" customHeight="1" x14ac:dyDescent="0.2">
      <c r="A66" s="15" t="s">
        <v>66</v>
      </c>
      <c r="B66" s="6">
        <f>SUM(G21,G22,G23,G24,G25)</f>
        <v>78750</v>
      </c>
      <c r="C66" s="6">
        <f>SUM(G26,G27,G28,G29,G30)</f>
        <v>141750</v>
      </c>
      <c r="D66" s="6">
        <f>SUM(G31,G32,G33,G34,G35)</f>
        <v>255150</v>
      </c>
      <c r="E66" s="6">
        <f>Demand!C67/Parameters!$B$5</f>
        <v>78750</v>
      </c>
      <c r="F66" s="6">
        <f>Demand!D67/Parameters!$B$5</f>
        <v>141750</v>
      </c>
      <c r="G66" s="6">
        <f>Demand!E67/Parameters!$B$5</f>
        <v>255150</v>
      </c>
    </row>
    <row r="67" spans="1:9" ht="14.25" customHeight="1" x14ac:dyDescent="0.2"/>
    <row r="68" spans="1:9" ht="14.25" customHeight="1" x14ac:dyDescent="0.2">
      <c r="A68" s="182" t="s">
        <v>67</v>
      </c>
      <c r="B68" s="183"/>
      <c r="C68" s="183"/>
      <c r="D68" s="183"/>
      <c r="E68" s="183"/>
      <c r="F68" s="183"/>
      <c r="G68" s="183"/>
      <c r="H68" s="183"/>
      <c r="I68" s="183"/>
    </row>
    <row r="69" spans="1:9" ht="14.25" customHeight="1" x14ac:dyDescent="0.2">
      <c r="A69" s="144" t="s">
        <v>68</v>
      </c>
      <c r="B69" s="144" t="s">
        <v>69</v>
      </c>
      <c r="C69" s="144" t="s">
        <v>70</v>
      </c>
      <c r="D69" s="144" t="s">
        <v>71</v>
      </c>
      <c r="E69" s="144" t="s">
        <v>72</v>
      </c>
      <c r="F69" s="144" t="s">
        <v>73</v>
      </c>
      <c r="G69" s="144" t="s">
        <v>74</v>
      </c>
    </row>
    <row r="70" spans="1:9" ht="14.25" customHeight="1" x14ac:dyDescent="0.2">
      <c r="A70" s="15" t="s">
        <v>48</v>
      </c>
      <c r="B70" s="6">
        <f>SUM(B21,C21,D21,E21,F21,G21)*Parameters!$B$5</f>
        <v>0</v>
      </c>
      <c r="C70" s="6">
        <f>SUM(B26,C26,D26,E26,F26,G26)*Parameters!$B$5</f>
        <v>0</v>
      </c>
      <c r="D70" s="6">
        <f>SUM(B31,C31,D31,E31,F31,G31)*Parameters!$B$5</f>
        <v>0</v>
      </c>
      <c r="E70" s="6">
        <f>C7*Parameters!$D20+C8*Parameters!$G20</f>
        <v>0</v>
      </c>
      <c r="F70" s="6">
        <f>D7*Parameters!$D20+D8*Parameters!$G20</f>
        <v>0</v>
      </c>
      <c r="G70" s="6">
        <f>E7*Parameters!$D20+E8*Parameters!$G20</f>
        <v>0</v>
      </c>
    </row>
    <row r="71" spans="1:9" ht="14.25" customHeight="1" x14ac:dyDescent="0.2">
      <c r="A71" s="15" t="s">
        <v>49</v>
      </c>
      <c r="B71" s="6">
        <f>SUM(B22,C22,D22,E22,F22,G22)*Parameters!$B$5</f>
        <v>0</v>
      </c>
      <c r="C71" s="6">
        <f>SUM(B27,C27,D27,E27,F27,G27)*Parameters!$B$5</f>
        <v>1684800</v>
      </c>
      <c r="D71" s="6">
        <f>SUM(B32,C32,D32,E32,F32,G32)*Parameters!$B$5</f>
        <v>3290000</v>
      </c>
      <c r="E71" s="6">
        <f>C9*Parameters!$D21+C10*Parameters!$G21</f>
        <v>0</v>
      </c>
      <c r="F71" s="6">
        <f>D9*Parameters!$D21+D10*Parameters!$G21</f>
        <v>2000000</v>
      </c>
      <c r="G71" s="6">
        <f>E9*Parameters!$D21+E10*Parameters!$G21</f>
        <v>4000000</v>
      </c>
    </row>
    <row r="72" spans="1:9" ht="14.25" customHeight="1" x14ac:dyDescent="0.2">
      <c r="A72" s="15" t="s">
        <v>50</v>
      </c>
      <c r="B72" s="6">
        <f>SUM(B23,C23,D23,E23,F23,G23)*Parameters!$B$5</f>
        <v>2565000</v>
      </c>
      <c r="C72" s="6">
        <f>SUM(B28,C28,D28,E28,F28,G28)*Parameters!$B$5</f>
        <v>2932200</v>
      </c>
      <c r="D72" s="6">
        <f>SUM(B33,C33,D33,E33,F33,G33)*Parameters!$B$5</f>
        <v>4000000</v>
      </c>
      <c r="E72" s="6">
        <f>C11*Parameters!$D22+C12*Parameters!$G22</f>
        <v>4000000</v>
      </c>
      <c r="F72" s="6">
        <f>D11*Parameters!$D22+D12*Parameters!$G22</f>
        <v>4000000</v>
      </c>
      <c r="G72" s="6">
        <f>E11*Parameters!$D22+E12*Parameters!$G22</f>
        <v>4000000</v>
      </c>
    </row>
    <row r="73" spans="1:9" ht="14.25" customHeight="1" x14ac:dyDescent="0.2">
      <c r="A73" s="15" t="s">
        <v>51</v>
      </c>
      <c r="B73" s="6">
        <f>SUM(B24,C24,D24,E24,F24,G24)*Parameters!$B$5</f>
        <v>0</v>
      </c>
      <c r="C73" s="6">
        <f>SUM(B29,C29,D29,E29,F29,G29)*Parameters!$B$5</f>
        <v>0</v>
      </c>
      <c r="D73" s="6">
        <f>SUM(B34,C34,D34,E34,F34,G34)*Parameters!$B$5</f>
        <v>1020600</v>
      </c>
      <c r="E73" s="6">
        <f>C13*Parameters!$D23+C14*Parameters!$G23</f>
        <v>0</v>
      </c>
      <c r="F73" s="6">
        <f>D13*Parameters!$D23+D14*Parameters!$G23</f>
        <v>0</v>
      </c>
      <c r="G73" s="6">
        <f>E13*Parameters!$D23+E14*Parameters!$G23</f>
        <v>2000000</v>
      </c>
    </row>
    <row r="74" spans="1:9" ht="14.25" customHeight="1" x14ac:dyDescent="0.2">
      <c r="A74" s="15" t="s">
        <v>52</v>
      </c>
      <c r="B74" s="6">
        <f>SUM(B25,C25,D25,E25,F25,G25)*Parameters!$B$5</f>
        <v>0</v>
      </c>
      <c r="C74" s="6">
        <f>SUM(B30,C30,D30,E30,F30,G30)*Parameters!$B$5</f>
        <v>0</v>
      </c>
      <c r="D74" s="6">
        <f>SUM(B35,C35,D35,E35,F35,G35)*Parameters!$B$5</f>
        <v>0</v>
      </c>
      <c r="E74" s="6">
        <f>C15*Parameters!$D24+C16*Parameters!$G24</f>
        <v>0</v>
      </c>
      <c r="F74" s="6">
        <f>D15*Parameters!$D24+D16*Parameters!$G24</f>
        <v>0</v>
      </c>
      <c r="G74" s="6">
        <f>E15*Parameters!$D24+E16*Parameters!$G24</f>
        <v>0</v>
      </c>
    </row>
    <row r="75" spans="1:9" ht="14.25" customHeight="1" x14ac:dyDescent="0.2"/>
    <row r="76" spans="1:9" ht="14.25" customHeight="1" x14ac:dyDescent="0.2">
      <c r="A76" s="182" t="s">
        <v>75</v>
      </c>
      <c r="B76" s="183"/>
      <c r="C76" s="183"/>
      <c r="D76" s="183"/>
      <c r="E76" s="183"/>
      <c r="F76" s="183"/>
      <c r="G76" s="183"/>
      <c r="H76" s="183"/>
      <c r="I76" s="183"/>
    </row>
    <row r="77" spans="1:9" ht="14.25" customHeight="1" x14ac:dyDescent="0.2">
      <c r="A77" s="144" t="s">
        <v>68</v>
      </c>
      <c r="B77" s="144" t="s">
        <v>76</v>
      </c>
      <c r="C77" s="144" t="s">
        <v>77</v>
      </c>
      <c r="D77" s="144" t="s">
        <v>78</v>
      </c>
    </row>
    <row r="78" spans="1:9" ht="14.25" customHeight="1" x14ac:dyDescent="0.2">
      <c r="A78" s="15" t="s">
        <v>48</v>
      </c>
      <c r="B78" s="20">
        <f>C7+C8</f>
        <v>0</v>
      </c>
      <c r="C78" s="20">
        <f>D7+D8</f>
        <v>0</v>
      </c>
      <c r="D78" s="20">
        <f>E7+E8</f>
        <v>0</v>
      </c>
      <c r="F78" s="19"/>
    </row>
    <row r="79" spans="1:9" ht="14.25" customHeight="1" x14ac:dyDescent="0.2">
      <c r="A79" s="15" t="s">
        <v>49</v>
      </c>
      <c r="B79" s="20">
        <f>C9+C10</f>
        <v>0</v>
      </c>
      <c r="C79" s="20">
        <f>D9+D10</f>
        <v>1</v>
      </c>
      <c r="D79" s="20">
        <f>E9+E10</f>
        <v>1</v>
      </c>
    </row>
    <row r="80" spans="1:9" ht="14.25" customHeight="1" x14ac:dyDescent="0.2">
      <c r="A80" s="15" t="s">
        <v>50</v>
      </c>
      <c r="B80" s="20">
        <f>C11+C12</f>
        <v>1</v>
      </c>
      <c r="C80" s="20">
        <f>D11+D12</f>
        <v>1</v>
      </c>
      <c r="D80" s="20">
        <f>E11+E12</f>
        <v>1</v>
      </c>
    </row>
    <row r="81" spans="1:9" ht="14.25" customHeight="1" x14ac:dyDescent="0.2">
      <c r="A81" s="15" t="s">
        <v>51</v>
      </c>
      <c r="B81" s="20">
        <f>C13+C14</f>
        <v>0</v>
      </c>
      <c r="C81" s="20">
        <f>D13+D14</f>
        <v>0</v>
      </c>
      <c r="D81" s="20">
        <f>E13+E14</f>
        <v>1</v>
      </c>
    </row>
    <row r="82" spans="1:9" ht="14.25" customHeight="1" x14ac:dyDescent="0.2">
      <c r="A82" s="15" t="s">
        <v>52</v>
      </c>
      <c r="B82" s="20">
        <f>C15+C16</f>
        <v>0</v>
      </c>
      <c r="C82" s="20">
        <f>D15+D16</f>
        <v>0</v>
      </c>
      <c r="D82" s="20">
        <f>E15+E16</f>
        <v>0</v>
      </c>
    </row>
    <row r="83" spans="1:9" ht="14.25" customHeight="1" x14ac:dyDescent="0.2"/>
    <row r="84" spans="1:9" ht="14.25" customHeight="1" x14ac:dyDescent="0.2"/>
    <row r="85" spans="1:9" ht="14.25" customHeight="1" x14ac:dyDescent="0.2">
      <c r="A85" s="182" t="s">
        <v>80</v>
      </c>
      <c r="B85" s="183"/>
      <c r="C85" s="183"/>
      <c r="D85" s="183"/>
      <c r="E85" s="183"/>
      <c r="F85" s="183"/>
      <c r="G85" s="183"/>
      <c r="H85" s="183"/>
      <c r="I85" s="183"/>
    </row>
    <row r="86" spans="1:9" ht="14.25" customHeight="1" x14ac:dyDescent="0.2">
      <c r="A86" s="145" t="s">
        <v>81</v>
      </c>
      <c r="B86" s="145" t="s">
        <v>4</v>
      </c>
      <c r="C86" s="145" t="s">
        <v>5</v>
      </c>
      <c r="D86" s="145" t="s">
        <v>6</v>
      </c>
    </row>
    <row r="87" spans="1:9" ht="14.25" customHeight="1" x14ac:dyDescent="0.2">
      <c r="A87" s="4" t="s">
        <v>7</v>
      </c>
      <c r="B87" s="148">
        <f t="shared" ref="B87:D96" si="4">B7-C7</f>
        <v>0</v>
      </c>
      <c r="C87" s="148">
        <f t="shared" si="4"/>
        <v>0</v>
      </c>
      <c r="D87" s="148">
        <f t="shared" si="4"/>
        <v>0</v>
      </c>
    </row>
    <row r="88" spans="1:9" ht="14.25" customHeight="1" x14ac:dyDescent="0.2">
      <c r="A88" s="4" t="s">
        <v>8</v>
      </c>
      <c r="B88" s="148">
        <f t="shared" si="4"/>
        <v>0</v>
      </c>
      <c r="C88" s="148">
        <f t="shared" si="4"/>
        <v>0</v>
      </c>
      <c r="D88" s="148">
        <f t="shared" si="4"/>
        <v>0</v>
      </c>
    </row>
    <row r="89" spans="1:9" ht="14.25" customHeight="1" x14ac:dyDescent="0.2">
      <c r="A89" s="4" t="s">
        <v>9</v>
      </c>
      <c r="B89" s="148">
        <f t="shared" si="4"/>
        <v>0</v>
      </c>
      <c r="C89" s="148">
        <f t="shared" si="4"/>
        <v>-1</v>
      </c>
      <c r="D89" s="148">
        <f t="shared" si="4"/>
        <v>1</v>
      </c>
    </row>
    <row r="90" spans="1:9" ht="14.25" customHeight="1" x14ac:dyDescent="0.2">
      <c r="A90" s="4" t="s">
        <v>10</v>
      </c>
      <c r="B90" s="148">
        <f t="shared" si="4"/>
        <v>0</v>
      </c>
      <c r="C90" s="148">
        <f t="shared" si="4"/>
        <v>0</v>
      </c>
      <c r="D90" s="148">
        <f t="shared" si="4"/>
        <v>-1</v>
      </c>
    </row>
    <row r="91" spans="1:9" ht="14.25" customHeight="1" x14ac:dyDescent="0.2">
      <c r="A91" s="4" t="s">
        <v>11</v>
      </c>
      <c r="B91" s="148">
        <f t="shared" si="4"/>
        <v>1</v>
      </c>
      <c r="C91" s="148">
        <f t="shared" si="4"/>
        <v>0</v>
      </c>
      <c r="D91" s="148">
        <f t="shared" si="4"/>
        <v>0</v>
      </c>
    </row>
    <row r="92" spans="1:9" ht="14.25" customHeight="1" x14ac:dyDescent="0.2">
      <c r="A92" s="4" t="s">
        <v>12</v>
      </c>
      <c r="B92" s="148">
        <f t="shared" si="4"/>
        <v>-1</v>
      </c>
      <c r="C92" s="148">
        <f t="shared" si="4"/>
        <v>0</v>
      </c>
      <c r="D92" s="148">
        <f t="shared" si="4"/>
        <v>0</v>
      </c>
    </row>
    <row r="93" spans="1:9" ht="14.25" customHeight="1" x14ac:dyDescent="0.2">
      <c r="A93" s="4" t="s">
        <v>13</v>
      </c>
      <c r="B93" s="148">
        <f t="shared" si="4"/>
        <v>0</v>
      </c>
      <c r="C93" s="148">
        <f t="shared" si="4"/>
        <v>0</v>
      </c>
      <c r="D93" s="148">
        <f t="shared" si="4"/>
        <v>-1</v>
      </c>
    </row>
    <row r="94" spans="1:9" ht="14.25" customHeight="1" x14ac:dyDescent="0.2">
      <c r="A94" s="4" t="s">
        <v>14</v>
      </c>
      <c r="B94" s="148">
        <f t="shared" si="4"/>
        <v>0</v>
      </c>
      <c r="C94" s="148">
        <f t="shared" si="4"/>
        <v>0</v>
      </c>
      <c r="D94" s="148">
        <f t="shared" si="4"/>
        <v>0</v>
      </c>
    </row>
    <row r="95" spans="1:9" ht="14.25" customHeight="1" x14ac:dyDescent="0.2">
      <c r="A95" s="4" t="s">
        <v>15</v>
      </c>
      <c r="B95" s="148">
        <f t="shared" si="4"/>
        <v>0</v>
      </c>
      <c r="C95" s="148">
        <f t="shared" si="4"/>
        <v>0</v>
      </c>
      <c r="D95" s="148">
        <f t="shared" si="4"/>
        <v>0</v>
      </c>
    </row>
    <row r="96" spans="1:9" ht="14.25" customHeight="1" x14ac:dyDescent="0.2">
      <c r="A96" s="4" t="s">
        <v>16</v>
      </c>
      <c r="B96" s="148">
        <f t="shared" si="4"/>
        <v>0</v>
      </c>
      <c r="C96" s="148">
        <f t="shared" si="4"/>
        <v>0</v>
      </c>
      <c r="D96" s="148">
        <f t="shared" si="4"/>
        <v>0</v>
      </c>
    </row>
    <row r="97" spans="1:7" ht="14.25" customHeight="1" x14ac:dyDescent="0.2"/>
    <row r="98" spans="1:7" ht="14.25" customHeight="1" x14ac:dyDescent="0.2">
      <c r="A98" s="2" t="s">
        <v>208</v>
      </c>
    </row>
    <row r="99" spans="1:7" ht="14.25" customHeight="1" x14ac:dyDescent="0.2">
      <c r="A99" s="145" t="s">
        <v>83</v>
      </c>
      <c r="B99" s="144" t="s">
        <v>69</v>
      </c>
      <c r="C99" s="144" t="s">
        <v>70</v>
      </c>
      <c r="D99" s="144" t="s">
        <v>71</v>
      </c>
      <c r="E99" s="144" t="s">
        <v>84</v>
      </c>
      <c r="F99" s="144" t="s">
        <v>84</v>
      </c>
      <c r="G99" s="144" t="s">
        <v>84</v>
      </c>
    </row>
    <row r="100" spans="1:7" ht="14.25" customHeight="1" x14ac:dyDescent="0.2">
      <c r="A100" s="15" t="s">
        <v>46</v>
      </c>
      <c r="B100" s="6">
        <f>SUM(B51:F51)</f>
        <v>641250</v>
      </c>
      <c r="C100" s="6">
        <f>SUM(B52:F52)</f>
        <v>1154250</v>
      </c>
      <c r="D100" s="6">
        <f>SUM(B53:F53)</f>
        <v>2077650</v>
      </c>
      <c r="E100" s="6">
        <f>Parameters!$D38/Parameters!$B$5</f>
        <v>4250000</v>
      </c>
      <c r="F100" s="6">
        <f>Parameters!$D38/Parameters!$B$5</f>
        <v>4250000</v>
      </c>
      <c r="G100" s="6">
        <f>Parameters!$D38/Parameters!$B$5</f>
        <v>4250000</v>
      </c>
    </row>
    <row r="101" spans="1:7" ht="14.25" customHeight="1" x14ac:dyDescent="0.2"/>
    <row r="102" spans="1:7" ht="14.25" customHeight="1" x14ac:dyDescent="0.2">
      <c r="A102" s="2" t="s">
        <v>85</v>
      </c>
    </row>
    <row r="103" spans="1:7" ht="37" customHeight="1" x14ac:dyDescent="0.2">
      <c r="A103" s="144" t="s">
        <v>86</v>
      </c>
      <c r="B103" s="144" t="s">
        <v>87</v>
      </c>
      <c r="C103" s="144" t="s">
        <v>88</v>
      </c>
      <c r="D103" s="144" t="s">
        <v>89</v>
      </c>
      <c r="E103" s="144" t="s">
        <v>90</v>
      </c>
      <c r="F103" s="144" t="s">
        <v>91</v>
      </c>
      <c r="G103" s="144" t="s">
        <v>89</v>
      </c>
    </row>
    <row r="104" spans="1:7" ht="14.25" customHeight="1" x14ac:dyDescent="0.2">
      <c r="A104" s="15" t="s">
        <v>48</v>
      </c>
      <c r="B104" s="6">
        <f>B51</f>
        <v>0</v>
      </c>
      <c r="C104" s="6">
        <f>B52</f>
        <v>0</v>
      </c>
      <c r="D104" s="6">
        <f>B53</f>
        <v>0</v>
      </c>
      <c r="E104" s="6">
        <f>SUM($B21:$G21)</f>
        <v>0</v>
      </c>
      <c r="F104" s="6">
        <f>SUM($B26:$G26)</f>
        <v>0</v>
      </c>
      <c r="G104" s="6">
        <f t="shared" ref="G104:G108" si="5">SUM($B31:$G31)</f>
        <v>0</v>
      </c>
    </row>
    <row r="105" spans="1:7" ht="14.25" customHeight="1" x14ac:dyDescent="0.2">
      <c r="A105" s="15" t="s">
        <v>49</v>
      </c>
      <c r="B105" s="6">
        <f>C51</f>
        <v>0</v>
      </c>
      <c r="C105" s="6">
        <f>C52</f>
        <v>421200</v>
      </c>
      <c r="D105" s="6">
        <f>C53</f>
        <v>822500</v>
      </c>
      <c r="E105" s="6">
        <f>SUM($B22:$G22)</f>
        <v>0</v>
      </c>
      <c r="F105" s="6">
        <f>SUM($B27:$G27)</f>
        <v>421200</v>
      </c>
      <c r="G105" s="6">
        <f t="shared" si="5"/>
        <v>822500</v>
      </c>
    </row>
    <row r="106" spans="1:7" ht="14.25" customHeight="1" x14ac:dyDescent="0.2">
      <c r="A106" s="15" t="s">
        <v>50</v>
      </c>
      <c r="B106" s="6">
        <f>D51</f>
        <v>641250</v>
      </c>
      <c r="C106" s="6">
        <f>D52</f>
        <v>733050</v>
      </c>
      <c r="D106" s="6">
        <f>D53</f>
        <v>1000000</v>
      </c>
      <c r="E106" s="6">
        <f>SUM($B23:$G23)</f>
        <v>641250</v>
      </c>
      <c r="F106" s="6">
        <f>SUM($B28:$G28)</f>
        <v>733050</v>
      </c>
      <c r="G106" s="6">
        <f t="shared" si="5"/>
        <v>1000000</v>
      </c>
    </row>
    <row r="107" spans="1:7" ht="14.25" customHeight="1" x14ac:dyDescent="0.2">
      <c r="A107" s="15" t="s">
        <v>51</v>
      </c>
      <c r="B107" s="6">
        <f>E51</f>
        <v>0</v>
      </c>
      <c r="C107" s="6">
        <f>E52</f>
        <v>0</v>
      </c>
      <c r="D107" s="6">
        <f>E53</f>
        <v>255150</v>
      </c>
      <c r="E107" s="6">
        <f>SUM($B24:$G24)</f>
        <v>0</v>
      </c>
      <c r="F107" s="6">
        <f>SUM($B29:$G29)</f>
        <v>0</v>
      </c>
      <c r="G107" s="6">
        <f t="shared" si="5"/>
        <v>255150</v>
      </c>
    </row>
    <row r="108" spans="1:7" ht="14.25" customHeight="1" x14ac:dyDescent="0.2">
      <c r="A108" s="15" t="s">
        <v>52</v>
      </c>
      <c r="B108" s="6">
        <f>F51</f>
        <v>0</v>
      </c>
      <c r="C108" s="6">
        <f>F52</f>
        <v>0</v>
      </c>
      <c r="D108" s="6">
        <f>F53</f>
        <v>0</v>
      </c>
      <c r="E108" s="6">
        <f>SUM($B25:$G25)</f>
        <v>0</v>
      </c>
      <c r="F108" s="6">
        <f>SUM($B30:$G30)</f>
        <v>0</v>
      </c>
      <c r="G108" s="6">
        <f t="shared" si="5"/>
        <v>0</v>
      </c>
    </row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9" ht="15" customHeight="1" x14ac:dyDescent="0.2">
      <c r="A113" s="181" t="s">
        <v>250</v>
      </c>
      <c r="B113" s="181"/>
      <c r="C113" s="181"/>
      <c r="D113" s="181"/>
      <c r="E113" s="181"/>
      <c r="F113" s="38"/>
      <c r="G113" s="38"/>
      <c r="H113" s="38"/>
      <c r="I113" s="39"/>
    </row>
    <row r="114" spans="1:9" ht="14.25" customHeight="1" x14ac:dyDescent="0.2">
      <c r="A114" s="109" t="s">
        <v>93</v>
      </c>
      <c r="B114" s="109" t="s">
        <v>4</v>
      </c>
      <c r="C114" s="109" t="s">
        <v>5</v>
      </c>
      <c r="D114" s="109" t="s">
        <v>6</v>
      </c>
      <c r="E114" s="109" t="s">
        <v>94</v>
      </c>
    </row>
    <row r="115" spans="1:9" ht="14.25" customHeight="1" x14ac:dyDescent="0.2">
      <c r="A115" s="4" t="s">
        <v>95</v>
      </c>
      <c r="B115" s="23">
        <f>C7*Parameters!B20+C8*Parameters!E20+C9*Parameters!B21+C10*Parameters!E21+C11*Parameters!B22+C12*Parameters!E22+C13*Parameters!B23+C14*Parameters!E23+C15*Parameters!B24+C16*Parameters!E24</f>
        <v>375000</v>
      </c>
      <c r="C115" s="23">
        <f>D7*Parameters!B20+D8*Parameters!E20+D9*Parameters!B21+D10*Parameters!E21+D11*Parameters!B22+D12*Parameters!E22+D13*Parameters!B23+D14*Parameters!E23+D15*Parameters!B24+D16*Parameters!E24</f>
        <v>625000</v>
      </c>
      <c r="D115" s="23">
        <f>E7*Parameters!B20+E8*Parameters!E20+E9*Parameters!B21+E10*Parameters!E21+E11*Parameters!B22+E12*Parameters!E22+E13*Parameters!B23+E14*Parameters!E23+E15*Parameters!B24+E16*Parameters!E24</f>
        <v>1015000</v>
      </c>
      <c r="E115" s="24">
        <f t="shared" ref="E115:E123" si="6">SUM(B115:D115)</f>
        <v>2015000</v>
      </c>
    </row>
    <row r="116" spans="1:9" ht="14.25" customHeight="1" x14ac:dyDescent="0.2">
      <c r="A116" s="4" t="s">
        <v>96</v>
      </c>
      <c r="B116" s="23">
        <f>(SUM(B21,C21,D21,E21,F21,G21)*Parameters!$B$5)*Parameters!C20+(SUM(B22,C22,D22,E22,F22,G22)*Parameters!$B$5)*Parameters!C21+(SUM(B23,C23,D23,E23,F23,G23)*Parameters!$B$5)*Parameters!C22+(SUM(B24,C24,D24,E24,F24,G24)*Parameters!$B$5)*Parameters!C23+(SUM(B25,C25,D25,E25,F25,G25)*Parameters!$B$5)*Parameters!C24</f>
        <v>513000</v>
      </c>
      <c r="C116" s="23">
        <f>(SUM(B26,C26,D26,E26,F26,G26)*Parameters!$B$5)*Parameters!C20+(SUM(B27,C27,D27,E27,F27,G27)*Parameters!$B$5)*Parameters!C21+(SUM(B28,C28,D28,E28,F28,G28)*Parameters!$B$5)*Parameters!C22+(SUM(B29,C29,D29,E29,F29,G29)*Parameters!$B$5)*Parameters!C23+(SUM(B30,C30,D30,E30,F30,G30)*Parameters!$B$5)*Parameters!C24</f>
        <v>923400</v>
      </c>
      <c r="D116" s="23">
        <f>(SUM(B31,C31,D31,E31,F31,G31)*Parameters!$B$5)*Parameters!C20+(SUM(B32,C32,D32,E32,F32,G32)*Parameters!$B$5)*Parameters!C21+(SUM(B33,C33,D33,E33,F33,G33)*Parameters!$B$5)*Parameters!C22+(SUM(B34,C34,D34,E34,F34,G34)*Parameters!$B$5)*Parameters!C23+(SUM(B35,C35,D35,E35,F35,G35)*Parameters!$B$5)*Parameters!C24</f>
        <v>1662120</v>
      </c>
      <c r="E116" s="24">
        <f t="shared" si="6"/>
        <v>3098520</v>
      </c>
    </row>
    <row r="117" spans="1:9" ht="14.25" customHeight="1" x14ac:dyDescent="0.2">
      <c r="A117" s="4" t="s">
        <v>97</v>
      </c>
      <c r="B117" s="23">
        <f>(C7+C8)*Parameters!$B$9+(SUM(B21,C21,D21,E21,F21,G21)*Parameters!$B$5)*Parameters!$B$10+(C9+C10)*Parameters!$B$9+(SUM(B22,C22,D22,E22,F22,G22)*Parameters!$B$5)*Parameters!$B$10+(C11+C12)*Parameters!$B$9+(SUM(B23,C23,D23,E23,F23,G23)*Parameters!$B$5)*Parameters!$B$10+(C13+C14)*Parameters!$B$9+(SUM(B24,C24,D24,E24,F24,G24)*Parameters!$B$5)*Parameters!$B$10+(C15+C16)*Parameters!$B$9+(SUM(B25,C25,D25,E25,F25,G25)*Parameters!$B$5)*Parameters!$B$10</f>
        <v>898225</v>
      </c>
      <c r="C117" s="23">
        <f>(D7+D8)*Parameters!$B$9+(SUM(B26,C26,D26,E26,F26,G26)*Parameters!$B$5)*Parameters!$B$10+(D9+D10)*Parameters!$B$9+(SUM(B27,C27,D27,E27,F27,G27)*Parameters!$B$5)*Parameters!$B$10+(D11+D12)*Parameters!$B$9+(SUM(B28,C28,D28,E28,F28,G28)*Parameters!$B$5)*Parameters!$B$10+(D13+D14)*Parameters!$B$9+(SUM(B29,C29,D29,E29,F29,G29)*Parameters!$B$5)*Parameters!$B$10+(D15+D16)*Parameters!$B$9+(SUM(B30,C30,D30,E30,F30,G30)*Parameters!$B$5)*Parameters!$B$10</f>
        <v>1711805</v>
      </c>
      <c r="D117" s="23">
        <f>(E7+E8)*Parameters!$B$9+(SUM(B31,C31,D31,E31,F31,G31)*Parameters!$B$5)*Parameters!$B$10+(E9+E10)*Parameters!$B$9+(SUM(B32,C32,D32,E32,F32,G32)*Parameters!$B$5)*Parameters!$B$10+(E11+E12)*Parameters!$B$9+(SUM(B33,C33,D33,E33,F33,G33)*Parameters!$B$5)*Parameters!$B$10+(E13+E14)*Parameters!$B$9+(SUM(B34,C34,D34,E34,F34,G34)*Parameters!$B$5)*Parameters!$B$10+(E15+E16)*Parameters!$B$9+(SUM(B35,C35,D35,E35,F35,G35)*Parameters!$B$5)*Parameters!$B$10</f>
        <v>2796249</v>
      </c>
      <c r="E117" s="24">
        <f t="shared" si="6"/>
        <v>5406279</v>
      </c>
    </row>
    <row r="118" spans="1:9" ht="14.25" customHeight="1" x14ac:dyDescent="0.2">
      <c r="A118" s="4" t="s">
        <v>98</v>
      </c>
      <c r="B118" s="23">
        <f>SUMPRODUCT(B21:G25,Parameters!$B$28:$G$32)</f>
        <v>1877625</v>
      </c>
      <c r="C118" s="23">
        <f>SUMPRODUCT(B26:G30,Parameters!$B$28:$G$32)</f>
        <v>3169125</v>
      </c>
      <c r="D118" s="23">
        <f>SUMPRODUCT(B31:G35,Parameters!$B$28:$G$32)</f>
        <v>5449275</v>
      </c>
      <c r="E118" s="24">
        <f t="shared" si="6"/>
        <v>10496025</v>
      </c>
    </row>
    <row r="119" spans="1:9" ht="14.25" customHeight="1" x14ac:dyDescent="0.2">
      <c r="A119" s="4" t="s">
        <v>110</v>
      </c>
      <c r="B119" s="23">
        <f>SUM(B21,C21,D21,E21,F21,G21)*Parameters!D42+SUM(B22,C22,D22,E22,F22,G22)*Parameters!D43+SUM(B23,C23,D23,E23,F23,G23)*Parameters!D44+SUM(B24,C24,D24,E24,F24,G24)*Parameters!D45+SUM(B25,C25,D25,E25,F25,G25)*Parameters!D46</f>
        <v>1603125</v>
      </c>
      <c r="C119" s="23">
        <f>SUM(B26,C26,D26,E26,F26,G26)*Parameters!D42+SUM(B27,C27,D27,E27,F27,G27)*Parameters!D43+SUM(B28,C28,D28,E28,F28,G28)*Parameters!D44+SUM(B29,C29,D29,E29,F29,G29)*Parameters!D45+SUM(B30,C30,D30,E30,F30,G30)*Parameters!D46</f>
        <v>2885625</v>
      </c>
      <c r="D119" s="23">
        <f>SUM(B31,C31,D31,E31,F31,G31)*Parameters!D42+SUM(B32,C32,D32,E32,F32,G32)*Parameters!D43+SUM(B33,C33,D33,E33,F33,G33)*Parameters!D44+SUM(B34,C34,D34,E34,F34,G34)*Parameters!D45+SUM(B35,C35,D35,E35,F35,G35)*Parameters!D46</f>
        <v>5321700</v>
      </c>
      <c r="E119" s="24">
        <f t="shared" si="6"/>
        <v>9810450</v>
      </c>
    </row>
    <row r="120" spans="1:9" ht="14.25" customHeight="1" x14ac:dyDescent="0.2">
      <c r="A120" s="4" t="s">
        <v>111</v>
      </c>
      <c r="B120" s="23">
        <f>(SUM(Demand!C62:C67))*Parameters!$B$7</f>
        <v>25650000</v>
      </c>
      <c r="C120" s="23">
        <f>(SUM(Demand!D62:D67))*Parameters!$B$7</f>
        <v>46170000</v>
      </c>
      <c r="D120" s="23">
        <f>(SUM(Demand!E62:E67))*Parameters!$B$7</f>
        <v>83106000</v>
      </c>
      <c r="E120" s="24">
        <f t="shared" si="6"/>
        <v>154926000</v>
      </c>
    </row>
    <row r="121" spans="1:9" ht="14.25" customHeight="1" x14ac:dyDescent="0.2">
      <c r="A121" s="4" t="s">
        <v>101</v>
      </c>
      <c r="B121" s="25">
        <f>Parameters!$B$8*SUM(Q2_Model_Baseline!B39:B48)</f>
        <v>30000</v>
      </c>
      <c r="C121" s="25">
        <f>Parameters!$B$8*SUM(Q2_Model_Baseline!C39:C48)</f>
        <v>0</v>
      </c>
      <c r="D121" s="25">
        <f>Parameters!$B$8*SUM(Q2_Model_Baseline!D39:D48)</f>
        <v>30000</v>
      </c>
      <c r="E121" s="23">
        <f t="shared" si="6"/>
        <v>60000</v>
      </c>
    </row>
    <row r="122" spans="1:9" ht="14.25" customHeight="1" x14ac:dyDescent="0.2">
      <c r="A122" s="4" t="s">
        <v>102</v>
      </c>
      <c r="B122" s="28">
        <f>Parameters!$B$38</f>
        <v>20000</v>
      </c>
      <c r="C122" s="28">
        <f>Parameters!$B$38</f>
        <v>20000</v>
      </c>
      <c r="D122" s="28">
        <f>Parameters!$B$38</f>
        <v>20000</v>
      </c>
      <c r="E122" s="23">
        <f t="shared" si="6"/>
        <v>60000</v>
      </c>
    </row>
    <row r="123" spans="1:9" ht="14.25" customHeight="1" x14ac:dyDescent="0.2">
      <c r="A123" s="4" t="s">
        <v>103</v>
      </c>
      <c r="B123" s="25">
        <f>Parameters!$C$38*SUM(B51:F51)</f>
        <v>192375</v>
      </c>
      <c r="C123" s="25">
        <f>Parameters!$C$38*SUM(B52:F52)</f>
        <v>346275</v>
      </c>
      <c r="D123" s="25">
        <f>Parameters!$C$38*SUM(B53:F53)</f>
        <v>623295</v>
      </c>
      <c r="E123" s="23">
        <f t="shared" si="6"/>
        <v>1161945</v>
      </c>
    </row>
    <row r="124" spans="1:9" ht="14.25" customHeight="1" x14ac:dyDescent="0.2">
      <c r="A124" s="110" t="s">
        <v>104</v>
      </c>
      <c r="B124" s="26">
        <f t="shared" ref="B124:E124" si="7">SUM(B115:B123)</f>
        <v>31159350</v>
      </c>
      <c r="C124" s="26">
        <f t="shared" si="7"/>
        <v>55851230</v>
      </c>
      <c r="D124" s="26">
        <f t="shared" si="7"/>
        <v>100023639</v>
      </c>
      <c r="E124" s="27">
        <f t="shared" si="7"/>
        <v>187034219</v>
      </c>
    </row>
    <row r="125" spans="1:9" ht="14.25" customHeight="1" x14ac:dyDescent="0.2"/>
    <row r="126" spans="1:9" ht="15" customHeight="1" x14ac:dyDescent="0.2">
      <c r="A126" s="107" t="s">
        <v>216</v>
      </c>
      <c r="B126" s="41">
        <f>14*Demand!$C$68</f>
        <v>35910000</v>
      </c>
      <c r="C126" s="41">
        <f>14*Demand!$D$68</f>
        <v>64638000</v>
      </c>
      <c r="D126" s="41">
        <f>14*Demand!$E$68</f>
        <v>116348400</v>
      </c>
      <c r="E126" s="41">
        <f>SUM(B126:D126)</f>
        <v>216896400</v>
      </c>
      <c r="F126" s="38"/>
      <c r="G126" s="38"/>
      <c r="H126" s="38"/>
      <c r="I126" s="39"/>
    </row>
    <row r="127" spans="1:9" ht="14.25" customHeight="1" x14ac:dyDescent="0.2">
      <c r="A127" s="108" t="s">
        <v>217</v>
      </c>
      <c r="B127" s="41">
        <f>B126-B124</f>
        <v>4750650</v>
      </c>
      <c r="C127" s="41">
        <f>C126-C124</f>
        <v>8786770</v>
      </c>
      <c r="D127" s="41">
        <f>D126-D124</f>
        <v>16324761</v>
      </c>
      <c r="E127" s="41">
        <f>E126-E124</f>
        <v>29862181</v>
      </c>
    </row>
    <row r="128" spans="1:9" ht="14.25" customHeight="1" x14ac:dyDescent="0.2">
      <c r="A128" s="42"/>
    </row>
    <row r="129" spans="1:1" ht="14.25" customHeight="1" x14ac:dyDescent="0.2">
      <c r="A129" s="37"/>
    </row>
    <row r="130" spans="1:1" ht="14.25" customHeight="1" x14ac:dyDescent="0.2">
      <c r="A130" s="37"/>
    </row>
    <row r="131" spans="1:1" ht="14.25" customHeight="1" x14ac:dyDescent="0.2">
      <c r="A131" s="42"/>
    </row>
    <row r="132" spans="1:1" ht="14.25" customHeight="1" x14ac:dyDescent="0.2">
      <c r="A132" s="37"/>
    </row>
    <row r="133" spans="1:1" ht="14.25" customHeight="1" x14ac:dyDescent="0.2">
      <c r="A133" s="37"/>
    </row>
    <row r="134" spans="1:1" ht="14.25" customHeight="1" x14ac:dyDescent="0.2">
      <c r="A134" s="37"/>
    </row>
    <row r="135" spans="1:1" ht="14.25" customHeight="1" x14ac:dyDescent="0.2">
      <c r="A135" s="37"/>
    </row>
    <row r="136" spans="1:1" ht="14.25" customHeight="1" x14ac:dyDescent="0.2">
      <c r="A136" s="37"/>
    </row>
    <row r="137" spans="1:1" ht="14.25" customHeight="1" x14ac:dyDescent="0.2">
      <c r="A137" s="42"/>
    </row>
    <row r="138" spans="1:1" ht="14.25" customHeight="1" x14ac:dyDescent="0.2">
      <c r="A138" s="37"/>
    </row>
    <row r="139" spans="1:1" ht="14.25" customHeight="1" x14ac:dyDescent="0.2">
      <c r="A139" s="37"/>
    </row>
    <row r="140" spans="1:1" ht="14.25" customHeight="1" x14ac:dyDescent="0.2"/>
    <row r="141" spans="1:1" ht="14.25" customHeight="1" x14ac:dyDescent="0.2"/>
    <row r="142" spans="1:1" ht="14.25" customHeight="1" x14ac:dyDescent="0.2"/>
    <row r="143" spans="1:1" ht="14.25" customHeight="1" x14ac:dyDescent="0.2"/>
    <row r="144" spans="1:1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</sheetData>
  <mergeCells count="11">
    <mergeCell ref="A68:I68"/>
    <mergeCell ref="A76:I76"/>
    <mergeCell ref="A85:I85"/>
    <mergeCell ref="A113:E113"/>
    <mergeCell ref="A58:I58"/>
    <mergeCell ref="A59:I59"/>
    <mergeCell ref="A1:I1"/>
    <mergeCell ref="A2:I2"/>
    <mergeCell ref="A4:I4"/>
    <mergeCell ref="A5:I5"/>
    <mergeCell ref="A19:I19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8B4A-E077-B044-B153-35AA3DD5FA5D}">
  <dimension ref="A1:L1018"/>
  <sheetViews>
    <sheetView topLeftCell="A115" zoomScale="131" workbookViewId="0">
      <selection activeCell="A136" sqref="A136"/>
    </sheetView>
  </sheetViews>
  <sheetFormatPr baseColWidth="10" defaultColWidth="14.5" defaultRowHeight="15" customHeight="1" x14ac:dyDescent="0.2"/>
  <cols>
    <col min="1" max="1" width="43.33203125" customWidth="1"/>
    <col min="2" max="2" width="15.5" customWidth="1"/>
    <col min="3" max="3" width="16" customWidth="1"/>
    <col min="4" max="4" width="19" customWidth="1"/>
    <col min="5" max="5" width="20.5" customWidth="1"/>
    <col min="6" max="9" width="13" customWidth="1"/>
    <col min="10" max="10" width="11" customWidth="1"/>
    <col min="11" max="11" width="12.1640625" customWidth="1"/>
    <col min="12" max="26" width="8.6640625" customWidth="1"/>
  </cols>
  <sheetData>
    <row r="1" spans="1:9" ht="27.75" customHeight="1" x14ac:dyDescent="0.2">
      <c r="A1" s="187" t="s">
        <v>256</v>
      </c>
      <c r="B1" s="185"/>
      <c r="C1" s="185"/>
      <c r="D1" s="185"/>
      <c r="E1" s="185"/>
      <c r="F1" s="185"/>
      <c r="G1" s="185"/>
      <c r="H1" s="185"/>
      <c r="I1" s="186"/>
    </row>
    <row r="2" spans="1:9" ht="14.25" customHeight="1" x14ac:dyDescent="0.2">
      <c r="A2" s="188"/>
      <c r="B2" s="183"/>
      <c r="C2" s="183"/>
      <c r="D2" s="183"/>
      <c r="E2" s="183"/>
      <c r="F2" s="183"/>
      <c r="G2" s="183"/>
      <c r="H2" s="183"/>
      <c r="I2" s="183"/>
    </row>
    <row r="3" spans="1:9" ht="14.25" customHeight="1" x14ac:dyDescent="0.2"/>
    <row r="4" spans="1:9" ht="15" customHeight="1" x14ac:dyDescent="0.2">
      <c r="A4" s="184" t="s">
        <v>1</v>
      </c>
      <c r="B4" s="185"/>
      <c r="C4" s="185"/>
      <c r="D4" s="185"/>
      <c r="E4" s="185"/>
      <c r="F4" s="185"/>
      <c r="G4" s="185"/>
      <c r="H4" s="185"/>
      <c r="I4" s="186"/>
    </row>
    <row r="5" spans="1:9" ht="14.25" customHeight="1" x14ac:dyDescent="0.2">
      <c r="A5" s="182" t="s">
        <v>2</v>
      </c>
      <c r="B5" s="183"/>
      <c r="C5" s="183"/>
      <c r="D5" s="183"/>
      <c r="E5" s="183"/>
      <c r="F5" s="183"/>
      <c r="G5" s="183"/>
      <c r="H5" s="183"/>
      <c r="I5" s="183"/>
    </row>
    <row r="6" spans="1:9" ht="14.25" customHeight="1" x14ac:dyDescent="0.2">
      <c r="A6" s="3" t="s">
        <v>3</v>
      </c>
      <c r="B6" s="146">
        <v>2024</v>
      </c>
      <c r="C6" s="3" t="s">
        <v>4</v>
      </c>
      <c r="D6" s="3" t="s">
        <v>5</v>
      </c>
      <c r="E6" s="3" t="s">
        <v>6</v>
      </c>
    </row>
    <row r="7" spans="1:9" ht="14.25" customHeight="1" x14ac:dyDescent="0.2">
      <c r="A7" s="4" t="s">
        <v>7</v>
      </c>
      <c r="B7" s="147">
        <v>0</v>
      </c>
      <c r="C7" s="106">
        <v>0</v>
      </c>
      <c r="D7" s="106">
        <v>0</v>
      </c>
      <c r="E7" s="106">
        <v>0</v>
      </c>
    </row>
    <row r="8" spans="1:9" ht="14.25" customHeight="1" x14ac:dyDescent="0.2">
      <c r="A8" s="4" t="s">
        <v>8</v>
      </c>
      <c r="B8" s="147">
        <v>0</v>
      </c>
      <c r="C8" s="106">
        <v>0</v>
      </c>
      <c r="D8" s="106">
        <v>0</v>
      </c>
      <c r="E8" s="106">
        <v>0</v>
      </c>
    </row>
    <row r="9" spans="1:9" ht="14.25" customHeight="1" x14ac:dyDescent="0.2">
      <c r="A9" s="4" t="s">
        <v>9</v>
      </c>
      <c r="B9" s="147">
        <v>0</v>
      </c>
      <c r="C9" s="106">
        <v>0</v>
      </c>
      <c r="D9" s="106">
        <v>1</v>
      </c>
      <c r="E9" s="106">
        <v>0</v>
      </c>
    </row>
    <row r="10" spans="1:9" ht="14.25" customHeight="1" x14ac:dyDescent="0.2">
      <c r="A10" s="4" t="s">
        <v>10</v>
      </c>
      <c r="B10" s="147">
        <v>0</v>
      </c>
      <c r="C10" s="106">
        <v>0</v>
      </c>
      <c r="D10" s="106">
        <v>0</v>
      </c>
      <c r="E10" s="106">
        <v>1</v>
      </c>
    </row>
    <row r="11" spans="1:9" ht="14.25" customHeight="1" x14ac:dyDescent="0.2">
      <c r="A11" s="4" t="s">
        <v>11</v>
      </c>
      <c r="B11" s="147">
        <v>1</v>
      </c>
      <c r="C11" s="106">
        <v>0</v>
      </c>
      <c r="D11" s="106">
        <v>0</v>
      </c>
      <c r="E11" s="106">
        <v>0</v>
      </c>
    </row>
    <row r="12" spans="1:9" ht="14.25" customHeight="1" x14ac:dyDescent="0.2">
      <c r="A12" s="4" t="s">
        <v>12</v>
      </c>
      <c r="B12" s="147">
        <v>0</v>
      </c>
      <c r="C12" s="106">
        <v>1</v>
      </c>
      <c r="D12" s="106">
        <v>1</v>
      </c>
      <c r="E12" s="106">
        <v>1</v>
      </c>
    </row>
    <row r="13" spans="1:9" ht="14.25" customHeight="1" x14ac:dyDescent="0.2">
      <c r="A13" s="4" t="s">
        <v>13</v>
      </c>
      <c r="B13" s="147">
        <v>0</v>
      </c>
      <c r="C13" s="106">
        <v>0</v>
      </c>
      <c r="D13" s="106">
        <v>0</v>
      </c>
      <c r="E13" s="106">
        <v>1</v>
      </c>
    </row>
    <row r="14" spans="1:9" ht="14.25" customHeight="1" x14ac:dyDescent="0.2">
      <c r="A14" s="4" t="s">
        <v>14</v>
      </c>
      <c r="B14" s="147">
        <v>0</v>
      </c>
      <c r="C14" s="106">
        <v>0</v>
      </c>
      <c r="D14" s="106">
        <v>0</v>
      </c>
      <c r="E14" s="106">
        <v>0</v>
      </c>
    </row>
    <row r="15" spans="1:9" ht="14.25" customHeight="1" x14ac:dyDescent="0.2">
      <c r="A15" s="4" t="s">
        <v>15</v>
      </c>
      <c r="B15" s="147">
        <v>0</v>
      </c>
      <c r="C15" s="106">
        <v>0</v>
      </c>
      <c r="D15" s="106">
        <v>0</v>
      </c>
      <c r="E15" s="106">
        <v>0</v>
      </c>
    </row>
    <row r="16" spans="1:9" ht="14.25" customHeight="1" x14ac:dyDescent="0.2">
      <c r="A16" s="4" t="s">
        <v>16</v>
      </c>
      <c r="B16" s="147">
        <v>0</v>
      </c>
      <c r="C16" s="106">
        <v>0</v>
      </c>
      <c r="D16" s="106">
        <v>0</v>
      </c>
      <c r="E16" s="106">
        <v>0</v>
      </c>
    </row>
    <row r="17" spans="1:9" ht="14.25" customHeight="1" x14ac:dyDescent="0.2">
      <c r="A17" s="1"/>
    </row>
    <row r="18" spans="1:9" ht="14.25" customHeight="1" x14ac:dyDescent="0.2"/>
    <row r="19" spans="1:9" ht="14.25" customHeight="1" x14ac:dyDescent="0.2">
      <c r="A19" s="182" t="s">
        <v>17</v>
      </c>
      <c r="B19" s="183"/>
      <c r="C19" s="183"/>
      <c r="D19" s="183"/>
      <c r="E19" s="183"/>
      <c r="F19" s="183"/>
      <c r="G19" s="183"/>
      <c r="H19" s="183"/>
      <c r="I19" s="183"/>
    </row>
    <row r="20" spans="1:9" ht="14.25" customHeight="1" x14ac:dyDescent="0.2">
      <c r="A20" s="3" t="s">
        <v>105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3" t="s">
        <v>26</v>
      </c>
    </row>
    <row r="21" spans="1:9" ht="14.25" customHeight="1" x14ac:dyDescent="0.2">
      <c r="A21" s="4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35" si="0">SUM(B21:G21)</f>
        <v>0</v>
      </c>
      <c r="I21" s="31" t="s">
        <v>4</v>
      </c>
    </row>
    <row r="22" spans="1:9" ht="14.25" customHeight="1" x14ac:dyDescent="0.2">
      <c r="A22" s="4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0"/>
        <v>0</v>
      </c>
      <c r="I22" s="31" t="s">
        <v>4</v>
      </c>
    </row>
    <row r="23" spans="1:9" ht="14.25" customHeight="1" x14ac:dyDescent="0.2">
      <c r="A23" s="4" t="s">
        <v>29</v>
      </c>
      <c r="B23" s="5">
        <v>144000</v>
      </c>
      <c r="C23" s="5">
        <v>90000</v>
      </c>
      <c r="D23" s="5">
        <v>72000</v>
      </c>
      <c r="E23" s="5">
        <v>99000</v>
      </c>
      <c r="F23" s="5">
        <v>157500</v>
      </c>
      <c r="G23" s="5">
        <v>78750</v>
      </c>
      <c r="H23" s="6">
        <f t="shared" si="0"/>
        <v>641250</v>
      </c>
      <c r="I23" s="31" t="s">
        <v>4</v>
      </c>
    </row>
    <row r="24" spans="1:9" ht="14.25" customHeight="1" x14ac:dyDescent="0.2">
      <c r="A24" s="4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0"/>
        <v>0</v>
      </c>
      <c r="I24" s="31" t="s">
        <v>4</v>
      </c>
    </row>
    <row r="25" spans="1:9" ht="14.25" customHeight="1" thickBot="1" x14ac:dyDescent="0.25">
      <c r="A25" s="33" t="s">
        <v>31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5">
        <f t="shared" si="0"/>
        <v>0</v>
      </c>
      <c r="I25" s="36" t="s">
        <v>4</v>
      </c>
    </row>
    <row r="26" spans="1:9" ht="14.25" customHeight="1" x14ac:dyDescent="0.2">
      <c r="A26" s="29" t="s">
        <v>32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30">
        <f t="shared" si="0"/>
        <v>0</v>
      </c>
      <c r="I26" s="31" t="s">
        <v>5</v>
      </c>
    </row>
    <row r="27" spans="1:9" ht="14.25" customHeight="1" x14ac:dyDescent="0.2">
      <c r="A27" s="4" t="s">
        <v>33</v>
      </c>
      <c r="B27" s="5">
        <v>259200</v>
      </c>
      <c r="C27" s="5">
        <v>162000</v>
      </c>
      <c r="D27" s="5">
        <v>0</v>
      </c>
      <c r="E27" s="5">
        <v>0</v>
      </c>
      <c r="F27" s="5">
        <v>0</v>
      </c>
      <c r="G27" s="5">
        <v>0</v>
      </c>
      <c r="H27" s="6">
        <f t="shared" si="0"/>
        <v>421200</v>
      </c>
      <c r="I27" s="31" t="s">
        <v>5</v>
      </c>
    </row>
    <row r="28" spans="1:9" ht="14.25" customHeight="1" x14ac:dyDescent="0.2">
      <c r="A28" s="4" t="s">
        <v>34</v>
      </c>
      <c r="B28" s="5">
        <v>0</v>
      </c>
      <c r="C28" s="5">
        <v>0</v>
      </c>
      <c r="D28" s="5">
        <v>129600</v>
      </c>
      <c r="E28" s="5">
        <v>178200</v>
      </c>
      <c r="F28" s="5">
        <v>283500</v>
      </c>
      <c r="G28" s="5">
        <v>141750</v>
      </c>
      <c r="H28" s="6">
        <f t="shared" si="0"/>
        <v>733050</v>
      </c>
      <c r="I28" s="31" t="s">
        <v>5</v>
      </c>
    </row>
    <row r="29" spans="1:9" ht="14.25" customHeight="1" x14ac:dyDescent="0.2">
      <c r="A29" s="4" t="s">
        <v>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f t="shared" si="0"/>
        <v>0</v>
      </c>
      <c r="I29" s="31" t="s">
        <v>5</v>
      </c>
    </row>
    <row r="30" spans="1:9" ht="14.25" customHeight="1" thickBot="1" x14ac:dyDescent="0.25">
      <c r="A30" s="33" t="s">
        <v>36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5">
        <f t="shared" si="0"/>
        <v>0</v>
      </c>
      <c r="I30" s="36" t="s">
        <v>5</v>
      </c>
    </row>
    <row r="31" spans="1:9" ht="14.25" customHeight="1" x14ac:dyDescent="0.2">
      <c r="A31" s="29" t="s">
        <v>37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30">
        <f t="shared" si="0"/>
        <v>0</v>
      </c>
      <c r="I31" s="31" t="s">
        <v>6</v>
      </c>
    </row>
    <row r="32" spans="1:9" ht="14.25" customHeight="1" x14ac:dyDescent="0.2">
      <c r="A32" s="4" t="s">
        <v>38</v>
      </c>
      <c r="B32" s="5">
        <v>513216</v>
      </c>
      <c r="C32" s="5">
        <v>320760</v>
      </c>
      <c r="D32" s="5">
        <v>166024</v>
      </c>
      <c r="E32" s="5">
        <v>0</v>
      </c>
      <c r="F32" s="5">
        <v>0</v>
      </c>
      <c r="G32" s="5">
        <v>0</v>
      </c>
      <c r="H32" s="6">
        <f t="shared" si="0"/>
        <v>1000000</v>
      </c>
      <c r="I32" s="31" t="s">
        <v>6</v>
      </c>
    </row>
    <row r="33" spans="1:12" ht="14.25" customHeight="1" x14ac:dyDescent="0.2">
      <c r="A33" s="4" t="s">
        <v>39</v>
      </c>
      <c r="B33" s="5">
        <v>0</v>
      </c>
      <c r="C33" s="5">
        <v>0</v>
      </c>
      <c r="D33" s="5">
        <v>90584</v>
      </c>
      <c r="E33" s="5">
        <v>352836</v>
      </c>
      <c r="F33" s="5">
        <v>556580</v>
      </c>
      <c r="G33" s="5">
        <v>0</v>
      </c>
      <c r="H33" s="6">
        <f t="shared" si="0"/>
        <v>1000000</v>
      </c>
      <c r="I33" s="31" t="s">
        <v>6</v>
      </c>
    </row>
    <row r="34" spans="1:12" ht="14.25" customHeight="1" x14ac:dyDescent="0.2">
      <c r="A34" s="4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4750</v>
      </c>
      <c r="G34" s="5">
        <v>280665</v>
      </c>
      <c r="H34" s="6">
        <f t="shared" si="0"/>
        <v>285415</v>
      </c>
      <c r="I34" s="31" t="s">
        <v>6</v>
      </c>
    </row>
    <row r="35" spans="1:12" ht="14.25" customHeight="1" thickBot="1" x14ac:dyDescent="0.25">
      <c r="A35" s="33" t="s">
        <v>41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5">
        <f t="shared" si="0"/>
        <v>0</v>
      </c>
      <c r="I35" s="36" t="s">
        <v>6</v>
      </c>
    </row>
    <row r="36" spans="1:12" ht="14.25" customHeight="1" x14ac:dyDescent="0.2">
      <c r="A36" s="32"/>
      <c r="B36" s="32"/>
      <c r="C36" s="32"/>
      <c r="D36" s="32"/>
      <c r="E36" s="32"/>
      <c r="F36" s="32"/>
      <c r="G36" s="32"/>
      <c r="H36" s="32"/>
      <c r="I36" s="32"/>
    </row>
    <row r="37" spans="1:12" ht="14.25" customHeight="1" x14ac:dyDescent="0.2"/>
    <row r="38" spans="1:12" ht="14.25" customHeight="1" x14ac:dyDescent="0.2">
      <c r="A38" s="3" t="s">
        <v>109</v>
      </c>
      <c r="B38" s="3" t="s">
        <v>4</v>
      </c>
      <c r="C38" s="3" t="s">
        <v>5</v>
      </c>
      <c r="D38" s="3" t="s">
        <v>6</v>
      </c>
    </row>
    <row r="39" spans="1:12" ht="14.25" customHeight="1" x14ac:dyDescent="0.2">
      <c r="A39" s="4" t="s">
        <v>7</v>
      </c>
      <c r="B39" s="106">
        <v>0</v>
      </c>
      <c r="C39" s="106">
        <v>0</v>
      </c>
      <c r="D39" s="106">
        <v>0</v>
      </c>
      <c r="F39" s="210" t="s">
        <v>273</v>
      </c>
      <c r="G39" s="205"/>
      <c r="H39" s="205"/>
      <c r="I39" s="205"/>
      <c r="J39" s="205"/>
      <c r="K39" s="205"/>
      <c r="L39" s="206"/>
    </row>
    <row r="40" spans="1:12" ht="14.25" customHeight="1" x14ac:dyDescent="0.2">
      <c r="A40" s="4" t="s">
        <v>8</v>
      </c>
      <c r="B40" s="106">
        <v>0</v>
      </c>
      <c r="C40" s="106">
        <v>0</v>
      </c>
      <c r="D40" s="106">
        <v>0</v>
      </c>
      <c r="F40" s="149" t="s">
        <v>137</v>
      </c>
      <c r="G40" s="150" t="s">
        <v>19</v>
      </c>
      <c r="H40" s="150" t="s">
        <v>62</v>
      </c>
      <c r="I40" s="150" t="s">
        <v>63</v>
      </c>
      <c r="J40" s="150" t="s">
        <v>64</v>
      </c>
      <c r="K40" s="150" t="s">
        <v>65</v>
      </c>
      <c r="L40" s="150" t="s">
        <v>66</v>
      </c>
    </row>
    <row r="41" spans="1:12" ht="14.25" customHeight="1" x14ac:dyDescent="0.2">
      <c r="A41" s="4" t="s">
        <v>9</v>
      </c>
      <c r="B41" s="106">
        <v>0</v>
      </c>
      <c r="C41" s="106">
        <v>0</v>
      </c>
      <c r="D41" s="106">
        <v>1</v>
      </c>
      <c r="F41" s="149" t="s">
        <v>48</v>
      </c>
      <c r="G41" s="151">
        <f>Parameters!B28*1.2</f>
        <v>2.4</v>
      </c>
      <c r="H41" s="151">
        <f>Parameters!C28*1.2</f>
        <v>3</v>
      </c>
      <c r="I41" s="151">
        <f>Parameters!D28*1.2</f>
        <v>4.2</v>
      </c>
      <c r="J41" s="151">
        <f>Parameters!E28*1.2</f>
        <v>4.8</v>
      </c>
      <c r="K41" s="151">
        <f>Parameters!F28*1.2</f>
        <v>6</v>
      </c>
      <c r="L41" s="151">
        <f>Parameters!G28*1.2</f>
        <v>6.6</v>
      </c>
    </row>
    <row r="42" spans="1:12" ht="14.25" customHeight="1" x14ac:dyDescent="0.2">
      <c r="A42" s="4" t="s">
        <v>10</v>
      </c>
      <c r="B42" s="106">
        <v>0</v>
      </c>
      <c r="C42" s="106">
        <v>0</v>
      </c>
      <c r="D42" s="106">
        <v>0</v>
      </c>
      <c r="F42" s="149" t="s">
        <v>49</v>
      </c>
      <c r="G42" s="151">
        <f>Parameters!B29*1.2</f>
        <v>3</v>
      </c>
      <c r="H42" s="151">
        <f>Parameters!C29*1.2</f>
        <v>3</v>
      </c>
      <c r="I42" s="151">
        <f>Parameters!D29*1.2</f>
        <v>3</v>
      </c>
      <c r="J42" s="151">
        <f>Parameters!E29*1.2</f>
        <v>3.5999999999999996</v>
      </c>
      <c r="K42" s="151">
        <f>Parameters!F29*1.2</f>
        <v>4.8</v>
      </c>
      <c r="L42" s="151">
        <f>Parameters!G29*1.2</f>
        <v>5.3999999999999995</v>
      </c>
    </row>
    <row r="43" spans="1:12" ht="14.25" customHeight="1" x14ac:dyDescent="0.2">
      <c r="A43" s="4" t="s">
        <v>11</v>
      </c>
      <c r="B43" s="106">
        <v>1</v>
      </c>
      <c r="C43" s="106">
        <v>0</v>
      </c>
      <c r="D43" s="106">
        <v>0</v>
      </c>
      <c r="F43" s="149" t="s">
        <v>50</v>
      </c>
      <c r="G43" s="151">
        <f>Parameters!B30*1.2</f>
        <v>3.5999999999999996</v>
      </c>
      <c r="H43" s="151">
        <f>Parameters!C30*1.2</f>
        <v>3.5999999999999996</v>
      </c>
      <c r="I43" s="151">
        <f>Parameters!D30*1.2</f>
        <v>3</v>
      </c>
      <c r="J43" s="151">
        <f>Parameters!E30*1.2</f>
        <v>3</v>
      </c>
      <c r="K43" s="151">
        <f>Parameters!F30*1.2</f>
        <v>3.5999999999999996</v>
      </c>
      <c r="L43" s="151">
        <f>Parameters!G30*1.2</f>
        <v>4.2</v>
      </c>
    </row>
    <row r="44" spans="1:12" ht="14.25" customHeight="1" x14ac:dyDescent="0.2">
      <c r="A44" s="4" t="s">
        <v>12</v>
      </c>
      <c r="B44" s="106">
        <v>0</v>
      </c>
      <c r="C44" s="106">
        <v>0</v>
      </c>
      <c r="D44" s="106">
        <v>0</v>
      </c>
      <c r="F44" s="149" t="s">
        <v>51</v>
      </c>
      <c r="G44" s="151">
        <f>Parameters!B31*1.2</f>
        <v>4.8</v>
      </c>
      <c r="H44" s="151">
        <f>Parameters!C31*1.2</f>
        <v>4.8</v>
      </c>
      <c r="I44" s="151">
        <f>Parameters!D31*1.2</f>
        <v>3.5999999999999996</v>
      </c>
      <c r="J44" s="151">
        <f>Parameters!E31*1.2</f>
        <v>3</v>
      </c>
      <c r="K44" s="151">
        <f>Parameters!F31*1.2</f>
        <v>3.5999999999999996</v>
      </c>
      <c r="L44" s="151">
        <f>Parameters!G31*1.2</f>
        <v>3</v>
      </c>
    </row>
    <row r="45" spans="1:12" ht="14.25" customHeight="1" x14ac:dyDescent="0.2">
      <c r="A45" s="4" t="s">
        <v>13</v>
      </c>
      <c r="B45" s="106">
        <v>0</v>
      </c>
      <c r="C45" s="106">
        <v>0</v>
      </c>
      <c r="D45" s="106">
        <v>0</v>
      </c>
      <c r="F45" s="149" t="s">
        <v>52</v>
      </c>
      <c r="G45" s="151">
        <f>Parameters!B32*1.2</f>
        <v>5.3999999999999995</v>
      </c>
      <c r="H45" s="151">
        <f>Parameters!C32*1.2</f>
        <v>6</v>
      </c>
      <c r="I45" s="151">
        <f>Parameters!D32*1.2</f>
        <v>3.5999999999999996</v>
      </c>
      <c r="J45" s="151">
        <f>Parameters!E32*1.2</f>
        <v>4.2</v>
      </c>
      <c r="K45" s="151">
        <f>Parameters!F32*1.2</f>
        <v>3</v>
      </c>
      <c r="L45" s="151">
        <f>Parameters!G32*1.2</f>
        <v>4.8</v>
      </c>
    </row>
    <row r="46" spans="1:12" ht="14.25" customHeight="1" x14ac:dyDescent="0.2">
      <c r="A46" s="4" t="s">
        <v>14</v>
      </c>
      <c r="B46" s="106">
        <v>0</v>
      </c>
      <c r="C46" s="106">
        <v>0</v>
      </c>
      <c r="D46" s="106">
        <v>0</v>
      </c>
    </row>
    <row r="47" spans="1:12" ht="14.25" customHeight="1" x14ac:dyDescent="0.2">
      <c r="A47" s="4" t="s">
        <v>15</v>
      </c>
      <c r="B47" s="106">
        <v>0</v>
      </c>
      <c r="C47" s="106">
        <v>0</v>
      </c>
      <c r="D47" s="106">
        <v>0</v>
      </c>
    </row>
    <row r="48" spans="1:12" ht="14.25" customHeight="1" x14ac:dyDescent="0.2">
      <c r="A48" s="4" t="s">
        <v>16</v>
      </c>
      <c r="B48" s="106">
        <v>0</v>
      </c>
      <c r="C48" s="106">
        <v>0</v>
      </c>
      <c r="D48" s="106">
        <v>0</v>
      </c>
    </row>
    <row r="49" spans="1:10" ht="14.25" customHeight="1" x14ac:dyDescent="0.2"/>
    <row r="50" spans="1:10" ht="14.25" customHeight="1" x14ac:dyDescent="0.2">
      <c r="A50" s="3" t="s">
        <v>47</v>
      </c>
      <c r="B50" s="15" t="s">
        <v>48</v>
      </c>
      <c r="C50" s="15" t="s">
        <v>49</v>
      </c>
      <c r="D50" s="15" t="s">
        <v>50</v>
      </c>
      <c r="E50" s="15" t="s">
        <v>51</v>
      </c>
      <c r="F50" s="15" t="s">
        <v>52</v>
      </c>
      <c r="G50" s="3" t="s">
        <v>25</v>
      </c>
      <c r="H50" s="3" t="s">
        <v>26</v>
      </c>
    </row>
    <row r="51" spans="1:10" ht="14.25" customHeight="1" thickBot="1" x14ac:dyDescent="0.25">
      <c r="A51" s="16" t="s">
        <v>46</v>
      </c>
      <c r="B51" s="9">
        <v>0</v>
      </c>
      <c r="C51" s="9">
        <v>0</v>
      </c>
      <c r="D51" s="9">
        <v>641250</v>
      </c>
      <c r="E51" s="9">
        <v>0</v>
      </c>
      <c r="F51" s="9">
        <v>0</v>
      </c>
      <c r="G51" s="10">
        <f t="shared" ref="G51:G53" si="1">SUM(B51:F51)</f>
        <v>641250</v>
      </c>
      <c r="H51" s="11" t="s">
        <v>4</v>
      </c>
    </row>
    <row r="52" spans="1:10" ht="14.25" customHeight="1" thickBot="1" x14ac:dyDescent="0.25">
      <c r="A52" s="16" t="s">
        <v>46</v>
      </c>
      <c r="B52" s="9">
        <v>0</v>
      </c>
      <c r="C52" s="9">
        <v>421200</v>
      </c>
      <c r="D52" s="9">
        <v>733050</v>
      </c>
      <c r="E52" s="9">
        <v>0</v>
      </c>
      <c r="F52" s="9">
        <v>0</v>
      </c>
      <c r="G52" s="10">
        <f t="shared" si="1"/>
        <v>1154250</v>
      </c>
      <c r="H52" s="11" t="s">
        <v>5</v>
      </c>
    </row>
    <row r="53" spans="1:10" ht="14.25" customHeight="1" thickBot="1" x14ac:dyDescent="0.25">
      <c r="A53" s="16" t="s">
        <v>46</v>
      </c>
      <c r="B53" s="9">
        <v>0</v>
      </c>
      <c r="C53" s="9">
        <v>1000000</v>
      </c>
      <c r="D53" s="9">
        <v>1000000</v>
      </c>
      <c r="E53" s="9">
        <v>285415</v>
      </c>
      <c r="F53" s="9">
        <v>0</v>
      </c>
      <c r="G53" s="10">
        <f t="shared" si="1"/>
        <v>2285415</v>
      </c>
      <c r="H53" s="11" t="s">
        <v>6</v>
      </c>
    </row>
    <row r="54" spans="1:10" ht="14.25" customHeight="1" x14ac:dyDescent="0.2"/>
    <row r="55" spans="1:10" ht="14.25" customHeight="1" x14ac:dyDescent="0.2"/>
    <row r="56" spans="1:10" ht="14.25" customHeight="1" x14ac:dyDescent="0.2"/>
    <row r="57" spans="1:10" ht="14.25" customHeight="1" x14ac:dyDescent="0.2"/>
    <row r="58" spans="1:10" ht="15" customHeight="1" x14ac:dyDescent="0.2">
      <c r="A58" s="204" t="s">
        <v>53</v>
      </c>
      <c r="B58" s="205"/>
      <c r="C58" s="205"/>
      <c r="D58" s="205"/>
      <c r="E58" s="205"/>
      <c r="F58" s="205"/>
      <c r="G58" s="205"/>
      <c r="H58" s="205"/>
      <c r="I58" s="206"/>
    </row>
    <row r="59" spans="1:10" ht="14.25" customHeight="1" x14ac:dyDescent="0.2">
      <c r="A59" s="182" t="s">
        <v>54</v>
      </c>
      <c r="B59" s="183"/>
      <c r="C59" s="183"/>
      <c r="D59" s="183"/>
      <c r="E59" s="183"/>
      <c r="F59" s="183"/>
      <c r="G59" s="183"/>
      <c r="H59" s="183"/>
      <c r="I59" s="183"/>
    </row>
    <row r="60" spans="1:10" ht="14.25" customHeight="1" x14ac:dyDescent="0.2">
      <c r="A60" s="144" t="s">
        <v>55</v>
      </c>
      <c r="B60" s="144" t="s">
        <v>56</v>
      </c>
      <c r="C60" s="144" t="s">
        <v>57</v>
      </c>
      <c r="D60" s="144" t="s">
        <v>58</v>
      </c>
      <c r="E60" s="144" t="s">
        <v>59</v>
      </c>
      <c r="F60" s="144" t="s">
        <v>60</v>
      </c>
      <c r="G60" s="144" t="s">
        <v>61</v>
      </c>
    </row>
    <row r="61" spans="1:10" ht="14.25" customHeight="1" x14ac:dyDescent="0.2">
      <c r="A61" s="15" t="s">
        <v>19</v>
      </c>
      <c r="B61" s="6">
        <f>SUM(B21,B22,B23,B24,B25)</f>
        <v>144000</v>
      </c>
      <c r="C61" s="6">
        <f>SUM(B26,B27,B28,B29,B30)</f>
        <v>259200</v>
      </c>
      <c r="D61" s="6">
        <f>SUM(B31,B32,B33,B34,B35)</f>
        <v>513216</v>
      </c>
      <c r="E61" s="6">
        <f>Demand!C62/Parameters!$B$5</f>
        <v>144000</v>
      </c>
      <c r="F61" s="6">
        <f>Demand!D62/Parameters!$B$5</f>
        <v>259200</v>
      </c>
      <c r="G61" s="48">
        <v>513216</v>
      </c>
    </row>
    <row r="62" spans="1:10" ht="14.25" customHeight="1" x14ac:dyDescent="0.2">
      <c r="A62" s="15" t="s">
        <v>62</v>
      </c>
      <c r="B62" s="6">
        <f>SUM(C21,C22,C23,C24,C25)</f>
        <v>90000</v>
      </c>
      <c r="C62" s="6">
        <f>SUM(C26,C27,C28,C29,C30)</f>
        <v>162000</v>
      </c>
      <c r="D62" s="6">
        <f>SUM(C31,C32,C33,C34,C35)</f>
        <v>320760</v>
      </c>
      <c r="E62" s="6">
        <f>Demand!C63/Parameters!$B$5</f>
        <v>90000</v>
      </c>
      <c r="F62" s="6">
        <f>Demand!D63/Parameters!$B$5</f>
        <v>162000</v>
      </c>
      <c r="G62" s="49">
        <v>320760</v>
      </c>
      <c r="I62" s="19"/>
      <c r="J62" s="19"/>
    </row>
    <row r="63" spans="1:10" ht="14.25" customHeight="1" x14ac:dyDescent="0.2">
      <c r="A63" s="15" t="s">
        <v>63</v>
      </c>
      <c r="B63" s="6">
        <f>SUM(D21,D22,D23,D24,D25)</f>
        <v>72000</v>
      </c>
      <c r="C63" s="6">
        <f>SUM(D26,D27,D28,D29,D30)</f>
        <v>129600</v>
      </c>
      <c r="D63" s="6">
        <f>SUM(D31,D32,D33,D34,D35)</f>
        <v>256608</v>
      </c>
      <c r="E63" s="6">
        <f>Demand!C64/Parameters!$B$5</f>
        <v>72000</v>
      </c>
      <c r="F63" s="6">
        <f>Demand!D64/Parameters!$B$5</f>
        <v>129600</v>
      </c>
      <c r="G63" s="49">
        <v>256608</v>
      </c>
    </row>
    <row r="64" spans="1:10" ht="14.25" customHeight="1" x14ac:dyDescent="0.2">
      <c r="A64" s="15" t="s">
        <v>64</v>
      </c>
      <c r="B64" s="6">
        <f>SUM(E21,E22,E23,E24,E25)</f>
        <v>99000</v>
      </c>
      <c r="C64" s="6">
        <f>SUM(E26,E27,E28,E29,E30)</f>
        <v>178200</v>
      </c>
      <c r="D64" s="6">
        <f>SUM(E31,E32,E33,E34,E35)</f>
        <v>352836</v>
      </c>
      <c r="E64" s="6">
        <f>Demand!C65/Parameters!$B$5</f>
        <v>99000</v>
      </c>
      <c r="F64" s="6">
        <f>Demand!D65/Parameters!$B$5</f>
        <v>178200</v>
      </c>
      <c r="G64" s="49">
        <v>352836</v>
      </c>
    </row>
    <row r="65" spans="1:11" ht="14.25" customHeight="1" x14ac:dyDescent="0.2">
      <c r="A65" s="15" t="s">
        <v>65</v>
      </c>
      <c r="B65" s="6">
        <f>SUM(F21,F22,F23,F24,F25)</f>
        <v>157500</v>
      </c>
      <c r="C65" s="6">
        <f>SUM(F26,F27,F28,F29,F30)</f>
        <v>283500</v>
      </c>
      <c r="D65" s="6">
        <f>SUM(F31,F32,F33,F34,F35)</f>
        <v>561330</v>
      </c>
      <c r="E65" s="6">
        <f>Demand!C66/Parameters!$B$5</f>
        <v>157500</v>
      </c>
      <c r="F65" s="6">
        <f>Demand!D66/Parameters!$B$5</f>
        <v>283500</v>
      </c>
      <c r="G65" s="49">
        <v>561330</v>
      </c>
    </row>
    <row r="66" spans="1:11" ht="14.25" customHeight="1" x14ac:dyDescent="0.2">
      <c r="A66" s="15" t="s">
        <v>66</v>
      </c>
      <c r="B66" s="6">
        <f>SUM(G21,G22,G23,G24,G25)</f>
        <v>78750</v>
      </c>
      <c r="C66" s="6">
        <f>SUM(G26,G27,G28,G29,G30)</f>
        <v>141750</v>
      </c>
      <c r="D66" s="6">
        <f>SUM(G31,G32,G33,G34,G35)</f>
        <v>280665</v>
      </c>
      <c r="E66" s="6">
        <f>Demand!C67/Parameters!$B$5</f>
        <v>78750</v>
      </c>
      <c r="F66" s="6">
        <f>Demand!D67/Parameters!$B$5</f>
        <v>141750</v>
      </c>
      <c r="G66" s="49">
        <v>280665</v>
      </c>
      <c r="K66" s="21"/>
    </row>
    <row r="67" spans="1:11" ht="14.25" customHeight="1" x14ac:dyDescent="0.2">
      <c r="K67" s="21"/>
    </row>
    <row r="68" spans="1:11" ht="14.25" customHeight="1" x14ac:dyDescent="0.2">
      <c r="A68" s="182" t="s">
        <v>67</v>
      </c>
      <c r="B68" s="183"/>
      <c r="C68" s="183"/>
      <c r="D68" s="183"/>
      <c r="E68" s="183"/>
      <c r="F68" s="183"/>
      <c r="G68" s="183"/>
      <c r="H68" s="183"/>
      <c r="I68" s="183"/>
    </row>
    <row r="69" spans="1:11" ht="14.25" customHeight="1" x14ac:dyDescent="0.2">
      <c r="A69" s="144" t="s">
        <v>68</v>
      </c>
      <c r="B69" s="144" t="s">
        <v>69</v>
      </c>
      <c r="C69" s="144" t="s">
        <v>70</v>
      </c>
      <c r="D69" s="144" t="s">
        <v>71</v>
      </c>
      <c r="E69" s="144" t="s">
        <v>72</v>
      </c>
      <c r="F69" s="144" t="s">
        <v>73</v>
      </c>
      <c r="G69" s="144" t="s">
        <v>74</v>
      </c>
    </row>
    <row r="70" spans="1:11" ht="14.25" customHeight="1" x14ac:dyDescent="0.2">
      <c r="A70" s="15" t="s">
        <v>48</v>
      </c>
      <c r="B70" s="6">
        <f>SUM(B21,C21,D21,E21,F21,G21)*Parameters!$B$5</f>
        <v>0</v>
      </c>
      <c r="C70" s="6">
        <f>SUM(B26,C26,D26,E26,F26,G26)*Parameters!$B$5</f>
        <v>0</v>
      </c>
      <c r="D70" s="6">
        <f>SUM(B31,C31,D31,E31,F31,G31)*Parameters!$B$5</f>
        <v>0</v>
      </c>
      <c r="E70" s="6">
        <f>C7*Parameters!$D20+C8*Parameters!$G20</f>
        <v>0</v>
      </c>
      <c r="F70" s="6">
        <f>D7*Parameters!$D20+D8*Parameters!$G20</f>
        <v>0</v>
      </c>
      <c r="G70" s="6">
        <f>E7*Parameters!$D20+E8*Parameters!$G20</f>
        <v>0</v>
      </c>
    </row>
    <row r="71" spans="1:11" ht="14.25" customHeight="1" x14ac:dyDescent="0.2">
      <c r="A71" s="15" t="s">
        <v>49</v>
      </c>
      <c r="B71" s="6">
        <f>SUM(B22,C22,D22,E22,F22,G22)*Parameters!$B$5</f>
        <v>0</v>
      </c>
      <c r="C71" s="6">
        <f>SUM(B27,C27,D27,E27,F27,G27)*Parameters!$B$5</f>
        <v>1684800</v>
      </c>
      <c r="D71" s="6">
        <f>SUM(B32,C32,D32,E32,F32,G32)*Parameters!$B$5</f>
        <v>4000000</v>
      </c>
      <c r="E71" s="6">
        <f>C9*Parameters!$D21+C10*Parameters!$G21</f>
        <v>0</v>
      </c>
      <c r="F71" s="6">
        <f>D9*Parameters!$D21+D10*Parameters!$G21</f>
        <v>2000000</v>
      </c>
      <c r="G71" s="6">
        <f>E9*Parameters!$D21+E10*Parameters!$G21</f>
        <v>4000000</v>
      </c>
    </row>
    <row r="72" spans="1:11" ht="14.25" customHeight="1" x14ac:dyDescent="0.2">
      <c r="A72" s="15" t="s">
        <v>50</v>
      </c>
      <c r="B72" s="6">
        <f>SUM(B23,C23,D23,E23,F23,G23)*Parameters!$B$5</f>
        <v>2565000</v>
      </c>
      <c r="C72" s="6">
        <f>SUM(B28,C28,D28,E28,F28,G28)*Parameters!$B$5</f>
        <v>2932200</v>
      </c>
      <c r="D72" s="6">
        <f>SUM(B33,C33,D33,E33,F33,G33)*Parameters!$B$5</f>
        <v>4000000</v>
      </c>
      <c r="E72" s="6">
        <f>C11*Parameters!$D22+C12*Parameters!$G22</f>
        <v>4000000</v>
      </c>
      <c r="F72" s="6">
        <f>D11*Parameters!$D22+D12*Parameters!$G22</f>
        <v>4000000</v>
      </c>
      <c r="G72" s="6">
        <f>E11*Parameters!$D22+E12*Parameters!$G22</f>
        <v>4000000</v>
      </c>
    </row>
    <row r="73" spans="1:11" ht="14.25" customHeight="1" x14ac:dyDescent="0.2">
      <c r="A73" s="15" t="s">
        <v>51</v>
      </c>
      <c r="B73" s="6">
        <f>SUM(B24,C24,D24,E24,F24,G24)*Parameters!$B$5</f>
        <v>0</v>
      </c>
      <c r="C73" s="6">
        <f>SUM(B29,C29,D29,E29,F29,G29)*Parameters!$B$5</f>
        <v>0</v>
      </c>
      <c r="D73" s="6">
        <f>SUM(B34,C34,D34,E34,F34,G34)*Parameters!$B$5</f>
        <v>1141660</v>
      </c>
      <c r="E73" s="6">
        <f>C13*Parameters!$D23+C14*Parameters!$G23</f>
        <v>0</v>
      </c>
      <c r="F73" s="6">
        <f>D13*Parameters!$D23+D14*Parameters!$G23</f>
        <v>0</v>
      </c>
      <c r="G73" s="6">
        <f>E13*Parameters!$D23+E14*Parameters!$G23</f>
        <v>2000000</v>
      </c>
    </row>
    <row r="74" spans="1:11" ht="14.25" customHeight="1" x14ac:dyDescent="0.2">
      <c r="A74" s="15" t="s">
        <v>52</v>
      </c>
      <c r="B74" s="6">
        <f>SUM(B25,C25,D25,E25,F25,G25)*Parameters!$B$5</f>
        <v>0</v>
      </c>
      <c r="C74" s="6">
        <f>SUM(B30,C30,D30,E30,F30,G30)*Parameters!$B$5</f>
        <v>0</v>
      </c>
      <c r="D74" s="6">
        <f>SUM(B35,C35,D35,E35,F35,G35)*Parameters!$B$5</f>
        <v>0</v>
      </c>
      <c r="E74" s="6">
        <f>C15*Parameters!$D24+C16*Parameters!$G24</f>
        <v>0</v>
      </c>
      <c r="F74" s="6">
        <f>D15*Parameters!$D24+D16*Parameters!$G24</f>
        <v>0</v>
      </c>
      <c r="G74" s="6">
        <f>E15*Parameters!$D24+E16*Parameters!$G24</f>
        <v>0</v>
      </c>
    </row>
    <row r="75" spans="1:11" ht="14.25" customHeight="1" x14ac:dyDescent="0.2"/>
    <row r="76" spans="1:11" ht="14.25" customHeight="1" x14ac:dyDescent="0.2">
      <c r="A76" s="182" t="s">
        <v>75</v>
      </c>
      <c r="B76" s="183"/>
      <c r="C76" s="183"/>
      <c r="D76" s="183"/>
      <c r="E76" s="183"/>
      <c r="F76" s="183"/>
      <c r="G76" s="183"/>
      <c r="H76" s="183"/>
      <c r="I76" s="183"/>
    </row>
    <row r="77" spans="1:11" ht="14.25" customHeight="1" x14ac:dyDescent="0.2">
      <c r="A77" s="144" t="s">
        <v>68</v>
      </c>
      <c r="B77" s="144" t="s">
        <v>76</v>
      </c>
      <c r="C77" s="144" t="s">
        <v>77</v>
      </c>
      <c r="D77" s="144" t="s">
        <v>78</v>
      </c>
    </row>
    <row r="78" spans="1:11" ht="14.25" customHeight="1" x14ac:dyDescent="0.2">
      <c r="A78" s="15" t="s">
        <v>48</v>
      </c>
      <c r="B78" s="20">
        <f>C7+C8</f>
        <v>0</v>
      </c>
      <c r="C78" s="20">
        <f>D7+D8</f>
        <v>0</v>
      </c>
      <c r="D78" s="20">
        <f>E7+E8</f>
        <v>0</v>
      </c>
      <c r="F78" s="19" t="s">
        <v>79</v>
      </c>
    </row>
    <row r="79" spans="1:11" ht="14.25" customHeight="1" x14ac:dyDescent="0.2">
      <c r="A79" s="15" t="s">
        <v>49</v>
      </c>
      <c r="B79" s="20">
        <f>C9+C10</f>
        <v>0</v>
      </c>
      <c r="C79" s="20">
        <f>D9+D10</f>
        <v>1</v>
      </c>
      <c r="D79" s="20">
        <f>E9+E10</f>
        <v>1</v>
      </c>
    </row>
    <row r="80" spans="1:11" ht="14.25" customHeight="1" x14ac:dyDescent="0.2">
      <c r="A80" s="15" t="s">
        <v>50</v>
      </c>
      <c r="B80" s="20">
        <f>C11+C12</f>
        <v>1</v>
      </c>
      <c r="C80" s="20">
        <f>D11+D12</f>
        <v>1</v>
      </c>
      <c r="D80" s="20">
        <f>E11+E12</f>
        <v>1</v>
      </c>
    </row>
    <row r="81" spans="1:9" ht="14.25" customHeight="1" x14ac:dyDescent="0.2">
      <c r="A81" s="15" t="s">
        <v>51</v>
      </c>
      <c r="B81" s="20">
        <f>C13+C14</f>
        <v>0</v>
      </c>
      <c r="C81" s="20">
        <f>D13+D14</f>
        <v>0</v>
      </c>
      <c r="D81" s="20">
        <f>E13+E14</f>
        <v>1</v>
      </c>
    </row>
    <row r="82" spans="1:9" ht="14.25" customHeight="1" x14ac:dyDescent="0.2">
      <c r="A82" s="15" t="s">
        <v>52</v>
      </c>
      <c r="B82" s="20">
        <f>C15+C16</f>
        <v>0</v>
      </c>
      <c r="C82" s="20">
        <f>D15+D16</f>
        <v>0</v>
      </c>
      <c r="D82" s="20">
        <f>E15+E16</f>
        <v>0</v>
      </c>
    </row>
    <row r="83" spans="1:9" ht="14.25" customHeight="1" x14ac:dyDescent="0.2"/>
    <row r="84" spans="1:9" ht="14.25" customHeight="1" x14ac:dyDescent="0.2"/>
    <row r="85" spans="1:9" ht="14.25" customHeight="1" x14ac:dyDescent="0.2">
      <c r="A85" s="182" t="s">
        <v>80</v>
      </c>
      <c r="B85" s="183"/>
      <c r="C85" s="183"/>
      <c r="D85" s="183"/>
      <c r="E85" s="183"/>
      <c r="F85" s="183"/>
      <c r="G85" s="183"/>
      <c r="H85" s="183"/>
      <c r="I85" s="183"/>
    </row>
    <row r="86" spans="1:9" ht="14.25" customHeight="1" x14ac:dyDescent="0.2">
      <c r="A86" s="145" t="s">
        <v>81</v>
      </c>
      <c r="B86" s="145" t="s">
        <v>4</v>
      </c>
      <c r="C86" s="145" t="s">
        <v>5</v>
      </c>
      <c r="D86" s="145" t="s">
        <v>6</v>
      </c>
    </row>
    <row r="87" spans="1:9" ht="14.25" customHeight="1" x14ac:dyDescent="0.2">
      <c r="A87" s="4" t="s">
        <v>7</v>
      </c>
      <c r="B87" s="22">
        <f t="shared" ref="B87:D96" si="2">B7-C7</f>
        <v>0</v>
      </c>
      <c r="C87" s="22">
        <f t="shared" si="2"/>
        <v>0</v>
      </c>
      <c r="D87" s="22">
        <f t="shared" si="2"/>
        <v>0</v>
      </c>
    </row>
    <row r="88" spans="1:9" ht="14.25" customHeight="1" x14ac:dyDescent="0.2">
      <c r="A88" s="4" t="s">
        <v>8</v>
      </c>
      <c r="B88" s="22">
        <f t="shared" si="2"/>
        <v>0</v>
      </c>
      <c r="C88" s="22">
        <f t="shared" si="2"/>
        <v>0</v>
      </c>
      <c r="D88" s="22">
        <f t="shared" si="2"/>
        <v>0</v>
      </c>
    </row>
    <row r="89" spans="1:9" ht="14.25" customHeight="1" x14ac:dyDescent="0.2">
      <c r="A89" s="4" t="s">
        <v>9</v>
      </c>
      <c r="B89" s="22">
        <f t="shared" si="2"/>
        <v>0</v>
      </c>
      <c r="C89" s="22">
        <f t="shared" si="2"/>
        <v>-1</v>
      </c>
      <c r="D89" s="22">
        <f t="shared" si="2"/>
        <v>1</v>
      </c>
    </row>
    <row r="90" spans="1:9" ht="14.25" customHeight="1" x14ac:dyDescent="0.2">
      <c r="A90" s="4" t="s">
        <v>10</v>
      </c>
      <c r="B90" s="22">
        <f t="shared" si="2"/>
        <v>0</v>
      </c>
      <c r="C90" s="22">
        <f t="shared" si="2"/>
        <v>0</v>
      </c>
      <c r="D90" s="22">
        <f t="shared" si="2"/>
        <v>-1</v>
      </c>
    </row>
    <row r="91" spans="1:9" ht="14.25" customHeight="1" x14ac:dyDescent="0.2">
      <c r="A91" s="4" t="s">
        <v>11</v>
      </c>
      <c r="B91" s="22">
        <f t="shared" si="2"/>
        <v>1</v>
      </c>
      <c r="C91" s="22">
        <f t="shared" si="2"/>
        <v>0</v>
      </c>
      <c r="D91" s="22">
        <f t="shared" si="2"/>
        <v>0</v>
      </c>
    </row>
    <row r="92" spans="1:9" ht="14.25" customHeight="1" x14ac:dyDescent="0.2">
      <c r="A92" s="4" t="s">
        <v>12</v>
      </c>
      <c r="B92" s="22">
        <f t="shared" si="2"/>
        <v>-1</v>
      </c>
      <c r="C92" s="22">
        <f t="shared" si="2"/>
        <v>0</v>
      </c>
      <c r="D92" s="22">
        <f t="shared" si="2"/>
        <v>0</v>
      </c>
    </row>
    <row r="93" spans="1:9" ht="14.25" customHeight="1" x14ac:dyDescent="0.2">
      <c r="A93" s="4" t="s">
        <v>13</v>
      </c>
      <c r="B93" s="22">
        <f t="shared" si="2"/>
        <v>0</v>
      </c>
      <c r="C93" s="22">
        <f t="shared" si="2"/>
        <v>0</v>
      </c>
      <c r="D93" s="22">
        <f t="shared" si="2"/>
        <v>-1</v>
      </c>
    </row>
    <row r="94" spans="1:9" ht="14.25" customHeight="1" x14ac:dyDescent="0.2">
      <c r="A94" s="4" t="s">
        <v>14</v>
      </c>
      <c r="B94" s="22">
        <f t="shared" si="2"/>
        <v>0</v>
      </c>
      <c r="C94" s="22">
        <f t="shared" si="2"/>
        <v>0</v>
      </c>
      <c r="D94" s="22">
        <f t="shared" si="2"/>
        <v>0</v>
      </c>
    </row>
    <row r="95" spans="1:9" ht="14.25" customHeight="1" x14ac:dyDescent="0.2">
      <c r="A95" s="4" t="s">
        <v>15</v>
      </c>
      <c r="B95" s="22">
        <f t="shared" si="2"/>
        <v>0</v>
      </c>
      <c r="C95" s="22">
        <f t="shared" si="2"/>
        <v>0</v>
      </c>
      <c r="D95" s="22">
        <f t="shared" si="2"/>
        <v>0</v>
      </c>
    </row>
    <row r="96" spans="1:9" ht="14.25" customHeight="1" x14ac:dyDescent="0.2">
      <c r="A96" s="4" t="s">
        <v>16</v>
      </c>
      <c r="B96" s="22">
        <f t="shared" si="2"/>
        <v>0</v>
      </c>
      <c r="C96" s="22">
        <f t="shared" si="2"/>
        <v>0</v>
      </c>
      <c r="D96" s="22">
        <f t="shared" si="2"/>
        <v>0</v>
      </c>
    </row>
    <row r="97" spans="1:7" ht="14.25" customHeight="1" x14ac:dyDescent="0.2"/>
    <row r="98" spans="1:7" ht="14.25" customHeight="1" x14ac:dyDescent="0.2">
      <c r="A98" s="2" t="s">
        <v>208</v>
      </c>
    </row>
    <row r="99" spans="1:7" ht="14.25" customHeight="1" x14ac:dyDescent="0.2">
      <c r="A99" s="145" t="s">
        <v>83</v>
      </c>
      <c r="B99" s="144" t="s">
        <v>69</v>
      </c>
      <c r="C99" s="144" t="s">
        <v>70</v>
      </c>
      <c r="D99" s="144" t="s">
        <v>71</v>
      </c>
      <c r="E99" s="144" t="s">
        <v>84</v>
      </c>
      <c r="F99" s="144" t="s">
        <v>84</v>
      </c>
      <c r="G99" s="144" t="s">
        <v>84</v>
      </c>
    </row>
    <row r="100" spans="1:7" ht="14.25" customHeight="1" x14ac:dyDescent="0.2">
      <c r="A100" s="15" t="s">
        <v>46</v>
      </c>
      <c r="B100" s="6">
        <f>SUM(B51:F51)</f>
        <v>641250</v>
      </c>
      <c r="C100" s="6">
        <f>SUM(B52:F52)</f>
        <v>1154250</v>
      </c>
      <c r="D100" s="6">
        <f>SUM(B53:F53)</f>
        <v>2285415</v>
      </c>
      <c r="E100" s="6">
        <f>Parameters!$D38/Parameters!$B$5</f>
        <v>4250000</v>
      </c>
      <c r="F100" s="6">
        <f>Parameters!$D38/Parameters!$B$5</f>
        <v>4250000</v>
      </c>
      <c r="G100" s="6">
        <f>Parameters!$D38/Parameters!$B$5</f>
        <v>4250000</v>
      </c>
    </row>
    <row r="101" spans="1:7" ht="14.25" customHeight="1" x14ac:dyDescent="0.2"/>
    <row r="102" spans="1:7" ht="14.25" customHeight="1" x14ac:dyDescent="0.2">
      <c r="A102" s="2" t="s">
        <v>85</v>
      </c>
    </row>
    <row r="103" spans="1:7" ht="14.25" customHeight="1" x14ac:dyDescent="0.2">
      <c r="A103" s="144" t="s">
        <v>86</v>
      </c>
      <c r="B103" s="144" t="s">
        <v>87</v>
      </c>
      <c r="C103" s="144" t="s">
        <v>88</v>
      </c>
      <c r="D103" s="144" t="s">
        <v>89</v>
      </c>
      <c r="E103" s="144" t="s">
        <v>90</v>
      </c>
      <c r="F103" s="144" t="s">
        <v>91</v>
      </c>
      <c r="G103" s="144" t="s">
        <v>89</v>
      </c>
    </row>
    <row r="104" spans="1:7" ht="14.25" customHeight="1" x14ac:dyDescent="0.2">
      <c r="A104" s="15" t="s">
        <v>48</v>
      </c>
      <c r="B104" s="6">
        <f>B51</f>
        <v>0</v>
      </c>
      <c r="C104" s="6">
        <f>B52</f>
        <v>0</v>
      </c>
      <c r="D104" s="6">
        <f>B53</f>
        <v>0</v>
      </c>
      <c r="E104" s="6">
        <f>SUM($B21:$G21)</f>
        <v>0</v>
      </c>
      <c r="F104" s="6">
        <f>SUM($B26:$G26)</f>
        <v>0</v>
      </c>
      <c r="G104" s="6">
        <f t="shared" ref="G104:G108" si="3">SUM($B31:$G31)</f>
        <v>0</v>
      </c>
    </row>
    <row r="105" spans="1:7" ht="14.25" customHeight="1" x14ac:dyDescent="0.2">
      <c r="A105" s="15" t="s">
        <v>49</v>
      </c>
      <c r="B105" s="6">
        <f>C51</f>
        <v>0</v>
      </c>
      <c r="C105" s="6">
        <f>C52</f>
        <v>421200</v>
      </c>
      <c r="D105" s="6">
        <f>C53</f>
        <v>1000000</v>
      </c>
      <c r="E105" s="6">
        <f>SUM($B22:$G22)</f>
        <v>0</v>
      </c>
      <c r="F105" s="6">
        <f>SUM($B27:$G27)</f>
        <v>421200</v>
      </c>
      <c r="G105" s="6">
        <f t="shared" si="3"/>
        <v>1000000</v>
      </c>
    </row>
    <row r="106" spans="1:7" ht="14.25" customHeight="1" x14ac:dyDescent="0.2">
      <c r="A106" s="15" t="s">
        <v>50</v>
      </c>
      <c r="B106" s="6">
        <f>D51</f>
        <v>641250</v>
      </c>
      <c r="C106" s="6">
        <f>D52</f>
        <v>733050</v>
      </c>
      <c r="D106" s="6">
        <f>D53</f>
        <v>1000000</v>
      </c>
      <c r="E106" s="6">
        <f>SUM($B23:$G23)</f>
        <v>641250</v>
      </c>
      <c r="F106" s="6">
        <f>SUM($B28:$G28)</f>
        <v>733050</v>
      </c>
      <c r="G106" s="6">
        <f t="shared" si="3"/>
        <v>1000000</v>
      </c>
    </row>
    <row r="107" spans="1:7" ht="14.25" customHeight="1" x14ac:dyDescent="0.2">
      <c r="A107" s="15" t="s">
        <v>51</v>
      </c>
      <c r="B107" s="6">
        <f>E51</f>
        <v>0</v>
      </c>
      <c r="C107" s="6">
        <f>E52</f>
        <v>0</v>
      </c>
      <c r="D107" s="6">
        <f>E53</f>
        <v>285415</v>
      </c>
      <c r="E107" s="6">
        <f>SUM($B24:$G24)</f>
        <v>0</v>
      </c>
      <c r="F107" s="6">
        <f>SUM($B29:$G29)</f>
        <v>0</v>
      </c>
      <c r="G107" s="6">
        <f t="shared" si="3"/>
        <v>285415</v>
      </c>
    </row>
    <row r="108" spans="1:7" ht="14.25" customHeight="1" x14ac:dyDescent="0.2">
      <c r="A108" s="15" t="s">
        <v>52</v>
      </c>
      <c r="B108" s="6">
        <f>F51</f>
        <v>0</v>
      </c>
      <c r="C108" s="6">
        <f>F52</f>
        <v>0</v>
      </c>
      <c r="D108" s="6">
        <f>F53</f>
        <v>0</v>
      </c>
      <c r="E108" s="6">
        <f>SUM($B25:$G25)</f>
        <v>0</v>
      </c>
      <c r="F108" s="6">
        <f>SUM($B30:$G30)</f>
        <v>0</v>
      </c>
      <c r="G108" s="6">
        <f t="shared" si="3"/>
        <v>0</v>
      </c>
    </row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9" ht="15" customHeight="1" x14ac:dyDescent="0.2">
      <c r="A113" s="181" t="s">
        <v>92</v>
      </c>
      <c r="B113" s="181"/>
      <c r="C113" s="181"/>
      <c r="D113" s="181"/>
      <c r="E113" s="181"/>
      <c r="F113" s="38"/>
      <c r="G113" s="38"/>
      <c r="H113" s="38"/>
      <c r="I113" s="39"/>
    </row>
    <row r="114" spans="1:9" ht="14.25" customHeight="1" x14ac:dyDescent="0.2">
      <c r="A114" s="109" t="s">
        <v>93</v>
      </c>
      <c r="B114" s="109" t="s">
        <v>4</v>
      </c>
      <c r="C114" s="109" t="s">
        <v>5</v>
      </c>
      <c r="D114" s="109" t="s">
        <v>6</v>
      </c>
      <c r="E114" s="109" t="s">
        <v>94</v>
      </c>
    </row>
    <row r="115" spans="1:9" ht="14.25" customHeight="1" x14ac:dyDescent="0.2">
      <c r="A115" s="4" t="s">
        <v>95</v>
      </c>
      <c r="B115" s="23">
        <f>C7*Parameters!B20+C8*Parameters!E20+C9*Parameters!B21+C10*Parameters!E21+C11*Parameters!B22+C12*Parameters!E22+C13*Parameters!B23+C14*Parameters!E23+C15*Parameters!B24+C16*Parameters!E24</f>
        <v>375000</v>
      </c>
      <c r="C115" s="23">
        <f>D7*Parameters!B20+D8*Parameters!E20+D9*Parameters!B21+D10*Parameters!E21+D11*Parameters!B22+D12*Parameters!E22+D13*Parameters!B23+D14*Parameters!E23+D15*Parameters!B24+D16*Parameters!E24</f>
        <v>625000</v>
      </c>
      <c r="D115" s="23">
        <f>E7*Parameters!B20+E8*Parameters!E20+E9*Parameters!B21+E10*Parameters!E21+E11*Parameters!B22+E12*Parameters!E22+E13*Parameters!B23+E14*Parameters!E23+E15*Parameters!B24+E16*Parameters!E24</f>
        <v>1015000</v>
      </c>
      <c r="E115" s="24">
        <f t="shared" ref="E115:E123" si="4">SUM(B115:D115)</f>
        <v>2015000</v>
      </c>
    </row>
    <row r="116" spans="1:9" ht="14.25" customHeight="1" x14ac:dyDescent="0.2">
      <c r="A116" s="4" t="s">
        <v>96</v>
      </c>
      <c r="B116" s="23">
        <f>(SUM(B21,C21,D21,E21,F21,G21)*Parameters!$B$5)*Parameters!C20+(SUM(B22,C22,D22,E22,F22,G22)*Parameters!$B$5)*Parameters!C21+(SUM(B23,C23,D23,E23,F23,G23)*Parameters!$B$5)*Parameters!C22+(SUM(B24,C24,D24,E24,F24,G24)*Parameters!$B$5)*Parameters!C23+(SUM(B25,C25,D25,E25,F25,G25)*Parameters!$B$5)*Parameters!C24</f>
        <v>513000</v>
      </c>
      <c r="C116" s="23">
        <f>(SUM(B26,C26,D26,E26,F26,G26)*Parameters!$B$5)*Parameters!C20+(SUM(B27,C27,D27,E27,F27,G27)*Parameters!$B$5)*Parameters!C21+(SUM(B28,C28,D28,E28,F28,G28)*Parameters!$B$5)*Parameters!C22+(SUM(B29,C29,D29,E29,F29,G29)*Parameters!$B$5)*Parameters!C23+(SUM(B30,C30,D30,E30,F30,G30)*Parameters!$B$5)*Parameters!C24</f>
        <v>923400</v>
      </c>
      <c r="D116" s="23">
        <f>(SUM(B31,C31,D31,E31,F31,G31)*Parameters!$B$5)*Parameters!C20+(SUM(B32,C32,D32,E32,F32,G32)*Parameters!$B$5)*Parameters!C21+(SUM(B33,C33,D33,E33,F33,G33)*Parameters!$B$5)*Parameters!C22+(SUM(B34,C34,D34,E34,F34,G34)*Parameters!$B$5)*Parameters!C23+(SUM(B35,C35,D35,E35,F35,G35)*Parameters!$B$5)*Parameters!C24</f>
        <v>1828332</v>
      </c>
      <c r="E116" s="24">
        <f t="shared" si="4"/>
        <v>3264732</v>
      </c>
    </row>
    <row r="117" spans="1:9" ht="14.25" customHeight="1" x14ac:dyDescent="0.2">
      <c r="A117" s="4" t="s">
        <v>97</v>
      </c>
      <c r="B117" s="23">
        <f>(C7+C8)*Parameters!$B$9+(SUM(B21,C21,D21,E21,F21,G21)*Parameters!$B$5)*Parameters!$B$10+(C9+C10)*Parameters!$B$9+(SUM(B22,C22,D22,E22,F22,G22)*Parameters!$B$5)*Parameters!$B$10+(C11+C12)*Parameters!$B$9+(SUM(B23,C23,D23,E23,F23,G23)*Parameters!$B$5)*Parameters!$B$10+(C13+C14)*Parameters!$B$9+(SUM(B24,C24,D24,E24,F24,G24)*Parameters!$B$5)*Parameters!$B$10+(C15+C16)*Parameters!$B$9+(SUM(B25,C25,D25,E25,F25,G25)*Parameters!$B$5)*Parameters!$B$10</f>
        <v>898225</v>
      </c>
      <c r="C117" s="23">
        <f>(D7+D8)*Parameters!$B$9+(SUM(B26,C26,D26,E26,F26,G26)*Parameters!$B$5)*Parameters!$B$10+(D9+D10)*Parameters!$B$9+(SUM(B27,C27,D27,E27,F27,G27)*Parameters!$B$5)*Parameters!$B$10+(D11+D12)*Parameters!$B$9+(SUM(B28,C28,D28,E28,F28,G28)*Parameters!$B$5)*Parameters!$B$10+(D13+D14)*Parameters!$B$9+(SUM(B29,C29,D29,E29,F29,G29)*Parameters!$B$5)*Parameters!$B$10+(D15+D16)*Parameters!$B$9+(SUM(B30,C30,D30,E30,F30,G30)*Parameters!$B$5)*Parameters!$B$10</f>
        <v>1711805</v>
      </c>
      <c r="D117" s="23">
        <f>(E7+E8)*Parameters!$B$9+(SUM(B31,C31,D31,E31,F31,G31)*Parameters!$B$5)*Parameters!$B$10+(E9+E10)*Parameters!$B$9+(SUM(B32,C32,D32,E32,F32,G32)*Parameters!$B$5)*Parameters!$B$10+(E11+E12)*Parameters!$B$9+(SUM(B33,C33,D33,E33,F33,G33)*Parameters!$B$5)*Parameters!$B$10+(E13+E14)*Parameters!$B$9+(SUM(B34,C34,D34,E34,F34,G34)*Parameters!$B$5)*Parameters!$B$10+(E15+E16)*Parameters!$B$9+(SUM(B35,C35,D35,E35,F35,G35)*Parameters!$B$5)*Parameters!$B$10</f>
        <v>2933373.9</v>
      </c>
      <c r="E117" s="24">
        <f t="shared" si="4"/>
        <v>5543403.9000000004</v>
      </c>
    </row>
    <row r="118" spans="1:9" ht="14.25" customHeight="1" x14ac:dyDescent="0.2">
      <c r="A118" s="4" t="s">
        <v>98</v>
      </c>
      <c r="B118" s="23">
        <f>SUMPRODUCT(B21:G25,Parameters!$B$28:$G$32)</f>
        <v>1877625</v>
      </c>
      <c r="C118" s="23">
        <f>SUMPRODUCT(B26:G30,Parameters!$B$28:$G$32)</f>
        <v>3169125</v>
      </c>
      <c r="D118" s="23">
        <f>SUMPRODUCT(B31:G35,G41:L45)</f>
        <v>7193043</v>
      </c>
      <c r="E118" s="24">
        <f t="shared" si="4"/>
        <v>12239793</v>
      </c>
    </row>
    <row r="119" spans="1:9" ht="14.25" customHeight="1" x14ac:dyDescent="0.2">
      <c r="A119" s="4" t="s">
        <v>110</v>
      </c>
      <c r="B119" s="23">
        <f>SUM(B21,C21,D21,E21,F21,G21)*Parameters!D42+SUM(B22,C22,D22,E22,F22,G22)*Parameters!D43+SUM(B23,C23,D23,E23,F23,G23)*Parameters!D44+SUM(B24,C24,D24,E24,F24,G24)*Parameters!D45+SUM(B25,C25,D25,E25,F25,G25)*Parameters!D46</f>
        <v>1603125</v>
      </c>
      <c r="C119" s="23">
        <f>SUM(B26,C26,D26,E26,F26,G26)*Parameters!D42+SUM(B27,C27,D27,E27,F27,G27)*Parameters!D43+SUM(B28,C28,D28,E28,F28,G28)*Parameters!D44+SUM(B29,C29,D29,E29,F29,G29)*Parameters!D45+SUM(B30,C30,D30,E30,F30,G30)*Parameters!D46</f>
        <v>2885625</v>
      </c>
      <c r="D119" s="23">
        <f>SUM(B31,C31,D31,E31,F31,G31)*Parameters!D42+SUM(Q2_Model_Baseline!B32,C32,D32,E32,F32,G32)*Parameters!D43+SUM(B33,C33,D33,E33,F33,G33)*Parameters!D44+SUM(B34,C34,D34,E34,F34,G34)*Parameters!D45+SUM(B35,C35,D35,E35,F35,G35)*Parameters!D46</f>
        <v>5739605</v>
      </c>
      <c r="E119" s="24">
        <f t="shared" si="4"/>
        <v>10228355</v>
      </c>
    </row>
    <row r="120" spans="1:9" ht="14.25" customHeight="1" x14ac:dyDescent="0.2">
      <c r="A120" s="4" t="s">
        <v>111</v>
      </c>
      <c r="B120" s="23">
        <f>(SUM(Demand!C62:C67))*Parameters!$B$7</f>
        <v>25650000</v>
      </c>
      <c r="C120" s="23">
        <f>(SUM(Demand!D62:D67))*Parameters!$B$7</f>
        <v>46170000</v>
      </c>
      <c r="D120" s="23">
        <f>(SUM(Demand!G62:G67))*Parameters!$B$7</f>
        <v>91416600</v>
      </c>
      <c r="E120" s="24">
        <f t="shared" si="4"/>
        <v>163236600</v>
      </c>
    </row>
    <row r="121" spans="1:9" ht="14.25" customHeight="1" x14ac:dyDescent="0.2">
      <c r="A121" s="4" t="s">
        <v>101</v>
      </c>
      <c r="B121" s="25">
        <f>Parameters!$B$8*SUM('Q3_next_day '!B39:B48)</f>
        <v>30000</v>
      </c>
      <c r="C121" s="25">
        <f>Parameters!$B$8*SUM('Q3_next_day '!C39:C48)</f>
        <v>0</v>
      </c>
      <c r="D121" s="25">
        <f>Parameters!$B$8*SUM('Q3_next_day '!D39:D48)</f>
        <v>30000</v>
      </c>
      <c r="E121" s="23">
        <f t="shared" si="4"/>
        <v>60000</v>
      </c>
    </row>
    <row r="122" spans="1:9" ht="14.25" customHeight="1" x14ac:dyDescent="0.2">
      <c r="A122" s="4" t="s">
        <v>102</v>
      </c>
      <c r="B122" s="28">
        <f>Parameters!$B$38</f>
        <v>20000</v>
      </c>
      <c r="C122" s="28">
        <f>Parameters!$B$38</f>
        <v>20000</v>
      </c>
      <c r="D122" s="28">
        <f>Parameters!$B$38</f>
        <v>20000</v>
      </c>
      <c r="E122" s="23">
        <f t="shared" si="4"/>
        <v>60000</v>
      </c>
    </row>
    <row r="123" spans="1:9" ht="14.25" customHeight="1" x14ac:dyDescent="0.2">
      <c r="A123" s="4" t="s">
        <v>103</v>
      </c>
      <c r="B123" s="25">
        <f>Parameters!$C$38*SUM(B51:F51)</f>
        <v>192375</v>
      </c>
      <c r="C123" s="25">
        <f>Parameters!$C$38*SUM(B52:F52)</f>
        <v>346275</v>
      </c>
      <c r="D123" s="25">
        <f>Parameters!$C$38*SUM(B53:F53)</f>
        <v>685624.5</v>
      </c>
      <c r="E123" s="23">
        <f t="shared" si="4"/>
        <v>1224274.5</v>
      </c>
    </row>
    <row r="124" spans="1:9" ht="14.25" customHeight="1" x14ac:dyDescent="0.2">
      <c r="A124" s="110" t="s">
        <v>104</v>
      </c>
      <c r="B124" s="26">
        <f t="shared" ref="B124:E124" si="5">SUM(B115:B123)</f>
        <v>31159350</v>
      </c>
      <c r="C124" s="26">
        <f t="shared" si="5"/>
        <v>55851230</v>
      </c>
      <c r="D124" s="26">
        <f t="shared" si="5"/>
        <v>110861578.40000001</v>
      </c>
      <c r="E124" s="27">
        <f t="shared" si="5"/>
        <v>197872158.40000001</v>
      </c>
    </row>
    <row r="125" spans="1:9" ht="14.25" customHeight="1" x14ac:dyDescent="0.2"/>
    <row r="126" spans="1:9" ht="15" customHeight="1" x14ac:dyDescent="0.2">
      <c r="A126" s="107" t="s">
        <v>216</v>
      </c>
      <c r="B126" s="41">
        <f>14*Demand!$C$68</f>
        <v>35910000</v>
      </c>
      <c r="C126" s="41">
        <f>14*Demand!$D$68</f>
        <v>64638000</v>
      </c>
      <c r="D126" s="41">
        <f>14*Demand!G68</f>
        <v>127983240</v>
      </c>
      <c r="E126" s="41">
        <f>SUM(B126:D126)</f>
        <v>228531240</v>
      </c>
    </row>
    <row r="127" spans="1:9" ht="14.25" customHeight="1" x14ac:dyDescent="0.2">
      <c r="A127" s="108" t="s">
        <v>217</v>
      </c>
      <c r="B127" s="41">
        <f>B126-B124</f>
        <v>4750650</v>
      </c>
      <c r="C127" s="41">
        <f>C126-C124</f>
        <v>8786770</v>
      </c>
      <c r="D127" s="41">
        <f>D126-D124</f>
        <v>17121661.599999994</v>
      </c>
      <c r="E127" s="41">
        <f>E126-E124</f>
        <v>30659081.599999994</v>
      </c>
    </row>
    <row r="128" spans="1:9" ht="14.25" customHeight="1" x14ac:dyDescent="0.2">
      <c r="A128" s="37"/>
    </row>
    <row r="129" spans="1:9" ht="14.25" customHeight="1" x14ac:dyDescent="0.2">
      <c r="A129" s="37"/>
    </row>
    <row r="130" spans="1:9" ht="14.25" customHeight="1" x14ac:dyDescent="0.2">
      <c r="A130" s="37"/>
    </row>
    <row r="131" spans="1:9" ht="14.25" customHeight="1" x14ac:dyDescent="0.2">
      <c r="A131" s="37"/>
    </row>
    <row r="132" spans="1:9" ht="14.25" customHeight="1" x14ac:dyDescent="0.2">
      <c r="A132" s="37"/>
    </row>
    <row r="133" spans="1:9" ht="14.25" customHeight="1" x14ac:dyDescent="0.2">
      <c r="A133" s="37"/>
    </row>
    <row r="134" spans="1:9" ht="14.25" customHeight="1" x14ac:dyDescent="0.2">
      <c r="A134" s="37"/>
    </row>
    <row r="135" spans="1:9" ht="14.25" customHeight="1" x14ac:dyDescent="0.2">
      <c r="A135" s="37"/>
    </row>
    <row r="136" spans="1:9" ht="14.25" customHeight="1" x14ac:dyDescent="0.2">
      <c r="A136" s="37"/>
    </row>
    <row r="137" spans="1:9" ht="14.25" customHeight="1" x14ac:dyDescent="0.2">
      <c r="A137" s="37"/>
    </row>
    <row r="138" spans="1:9" ht="14.25" customHeight="1" x14ac:dyDescent="0.2"/>
    <row r="139" spans="1:9" ht="14.25" customHeight="1" x14ac:dyDescent="0.2">
      <c r="A139" s="203"/>
      <c r="B139" s="183"/>
      <c r="C139" s="183"/>
      <c r="D139" s="183"/>
      <c r="E139" s="183"/>
      <c r="F139" s="183"/>
      <c r="G139" s="183"/>
      <c r="H139" s="183"/>
      <c r="I139" s="183"/>
    </row>
    <row r="140" spans="1:9" ht="14.25" customHeight="1" x14ac:dyDescent="0.2"/>
    <row r="141" spans="1:9" ht="14.25" customHeight="1" x14ac:dyDescent="0.2"/>
    <row r="142" spans="1:9" ht="14.25" customHeight="1" x14ac:dyDescent="0.2"/>
    <row r="143" spans="1:9" ht="14.25" customHeight="1" x14ac:dyDescent="0.2"/>
    <row r="144" spans="1:9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</sheetData>
  <mergeCells count="13">
    <mergeCell ref="A1:I1"/>
    <mergeCell ref="A2:I2"/>
    <mergeCell ref="A4:I4"/>
    <mergeCell ref="A5:I5"/>
    <mergeCell ref="A19:I19"/>
    <mergeCell ref="A139:I139"/>
    <mergeCell ref="F39:L39"/>
    <mergeCell ref="A113:E113"/>
    <mergeCell ref="A59:I59"/>
    <mergeCell ref="A68:I68"/>
    <mergeCell ref="A76:I76"/>
    <mergeCell ref="A85:I85"/>
    <mergeCell ref="A58:I58"/>
  </mergeCells>
  <pageMargins left="0.75" right="0.75" top="1" bottom="1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51C4-73A5-B944-AFD7-64A0C6703015}">
  <dimension ref="A1:K1020"/>
  <sheetViews>
    <sheetView topLeftCell="A145" zoomScale="108" workbookViewId="0">
      <selection activeCell="D126" sqref="D126"/>
    </sheetView>
  </sheetViews>
  <sheetFormatPr baseColWidth="10" defaultColWidth="14.5" defaultRowHeight="15" customHeight="1" x14ac:dyDescent="0.2"/>
  <cols>
    <col min="1" max="1" width="43.33203125" customWidth="1"/>
    <col min="2" max="2" width="32.1640625" customWidth="1"/>
    <col min="3" max="3" width="13" customWidth="1"/>
    <col min="4" max="4" width="14.6640625" customWidth="1"/>
    <col min="5" max="5" width="20.5" customWidth="1"/>
    <col min="6" max="9" width="13" customWidth="1"/>
    <col min="10" max="26" width="8.6640625" customWidth="1"/>
  </cols>
  <sheetData>
    <row r="1" spans="1:11" ht="27.75" customHeight="1" x14ac:dyDescent="0.2">
      <c r="A1" s="187" t="s">
        <v>254</v>
      </c>
      <c r="B1" s="185"/>
      <c r="C1" s="185"/>
      <c r="D1" s="185"/>
      <c r="E1" s="185"/>
      <c r="F1" s="185"/>
      <c r="G1" s="185"/>
      <c r="H1" s="185"/>
      <c r="I1" s="186"/>
    </row>
    <row r="2" spans="1:11" ht="14.25" customHeight="1" x14ac:dyDescent="0.2">
      <c r="A2" s="188"/>
      <c r="B2" s="183"/>
      <c r="C2" s="183"/>
      <c r="D2" s="183"/>
      <c r="E2" s="183"/>
      <c r="F2" s="183"/>
      <c r="G2" s="183"/>
      <c r="H2" s="183"/>
      <c r="I2" s="183"/>
    </row>
    <row r="3" spans="1:11" ht="14.25" customHeight="1" x14ac:dyDescent="0.2"/>
    <row r="4" spans="1:11" ht="15" customHeight="1" x14ac:dyDescent="0.2">
      <c r="A4" s="184" t="s">
        <v>1</v>
      </c>
      <c r="B4" s="185"/>
      <c r="C4" s="185"/>
      <c r="D4" s="185"/>
      <c r="E4" s="185"/>
      <c r="F4" s="185"/>
      <c r="G4" s="185"/>
      <c r="H4" s="185"/>
      <c r="I4" s="186"/>
    </row>
    <row r="5" spans="1:11" ht="14.25" customHeight="1" x14ac:dyDescent="0.2">
      <c r="A5" s="182" t="s">
        <v>2</v>
      </c>
      <c r="B5" s="183"/>
      <c r="C5" s="183"/>
      <c r="D5" s="183"/>
      <c r="E5" s="183"/>
      <c r="F5" s="183"/>
      <c r="G5" s="183"/>
      <c r="H5" s="183"/>
      <c r="I5" s="183"/>
    </row>
    <row r="6" spans="1:11" ht="14.25" customHeight="1" x14ac:dyDescent="0.2">
      <c r="A6" s="3" t="s">
        <v>3</v>
      </c>
      <c r="B6" s="146">
        <v>2024</v>
      </c>
      <c r="C6" s="3" t="s">
        <v>4</v>
      </c>
      <c r="D6" s="3" t="s">
        <v>5</v>
      </c>
      <c r="E6" s="3" t="s">
        <v>6</v>
      </c>
    </row>
    <row r="7" spans="1:11" ht="14.25" customHeight="1" x14ac:dyDescent="0.2">
      <c r="A7" s="4" t="s">
        <v>7</v>
      </c>
      <c r="B7" s="147">
        <v>0</v>
      </c>
      <c r="C7" s="106">
        <v>0</v>
      </c>
      <c r="D7" s="106">
        <v>0</v>
      </c>
      <c r="E7" s="106">
        <v>0</v>
      </c>
      <c r="H7" s="45" t="s">
        <v>218</v>
      </c>
      <c r="I7" s="46">
        <v>2025</v>
      </c>
      <c r="J7" s="46">
        <v>2026</v>
      </c>
      <c r="K7" s="46">
        <v>2027</v>
      </c>
    </row>
    <row r="8" spans="1:11" ht="14.25" customHeight="1" x14ac:dyDescent="0.2">
      <c r="A8" s="4" t="s">
        <v>8</v>
      </c>
      <c r="B8" s="147">
        <v>0</v>
      </c>
      <c r="C8" s="106">
        <v>0</v>
      </c>
      <c r="D8" s="106">
        <v>0</v>
      </c>
      <c r="E8" s="106">
        <v>0</v>
      </c>
      <c r="I8" s="47">
        <f>SUM(C7:C16)</f>
        <v>2</v>
      </c>
      <c r="J8" s="47">
        <f>SUM(D7:D16)</f>
        <v>2</v>
      </c>
      <c r="K8" s="47">
        <f>SUM(E7:E16)</f>
        <v>3</v>
      </c>
    </row>
    <row r="9" spans="1:11" ht="14.25" customHeight="1" x14ac:dyDescent="0.2">
      <c r="A9" s="4" t="s">
        <v>9</v>
      </c>
      <c r="B9" s="147">
        <v>0</v>
      </c>
      <c r="C9" s="106">
        <v>0</v>
      </c>
      <c r="D9" s="106">
        <v>1</v>
      </c>
      <c r="E9" s="106">
        <v>0</v>
      </c>
    </row>
    <row r="10" spans="1:11" ht="14.25" customHeight="1" x14ac:dyDescent="0.2">
      <c r="A10" s="4" t="s">
        <v>10</v>
      </c>
      <c r="B10" s="147">
        <v>0</v>
      </c>
      <c r="C10" s="106">
        <v>0</v>
      </c>
      <c r="D10" s="106">
        <v>0</v>
      </c>
      <c r="E10" s="106">
        <v>1</v>
      </c>
    </row>
    <row r="11" spans="1:11" ht="14.25" customHeight="1" x14ac:dyDescent="0.2">
      <c r="A11" s="4" t="s">
        <v>11</v>
      </c>
      <c r="B11" s="147">
        <v>1</v>
      </c>
      <c r="C11" s="106">
        <v>1</v>
      </c>
      <c r="D11" s="106">
        <v>0</v>
      </c>
      <c r="E11" s="106">
        <v>0</v>
      </c>
    </row>
    <row r="12" spans="1:11" ht="14.25" customHeight="1" x14ac:dyDescent="0.2">
      <c r="A12" s="4" t="s">
        <v>12</v>
      </c>
      <c r="B12" s="147">
        <v>0</v>
      </c>
      <c r="C12" s="106">
        <v>0</v>
      </c>
      <c r="D12" s="106">
        <v>1</v>
      </c>
      <c r="E12" s="106">
        <v>1</v>
      </c>
    </row>
    <row r="13" spans="1:11" ht="14.25" customHeight="1" x14ac:dyDescent="0.2">
      <c r="A13" s="4" t="s">
        <v>13</v>
      </c>
      <c r="B13" s="147">
        <v>0</v>
      </c>
      <c r="C13" s="106">
        <v>1</v>
      </c>
      <c r="D13" s="106">
        <v>0</v>
      </c>
      <c r="E13" s="106">
        <v>1</v>
      </c>
    </row>
    <row r="14" spans="1:11" ht="14.25" customHeight="1" x14ac:dyDescent="0.2">
      <c r="A14" s="4" t="s">
        <v>14</v>
      </c>
      <c r="B14" s="147">
        <v>0</v>
      </c>
      <c r="C14" s="106">
        <v>0</v>
      </c>
      <c r="D14" s="106">
        <v>0</v>
      </c>
      <c r="E14" s="106">
        <v>0</v>
      </c>
    </row>
    <row r="15" spans="1:11" ht="14.25" customHeight="1" x14ac:dyDescent="0.2">
      <c r="A15" s="4" t="s">
        <v>15</v>
      </c>
      <c r="B15" s="147">
        <v>0</v>
      </c>
      <c r="C15" s="106">
        <v>0</v>
      </c>
      <c r="D15" s="106">
        <v>0</v>
      </c>
      <c r="E15" s="106">
        <v>0</v>
      </c>
    </row>
    <row r="16" spans="1:11" ht="14.25" customHeight="1" x14ac:dyDescent="0.2">
      <c r="A16" s="4" t="s">
        <v>16</v>
      </c>
      <c r="B16" s="147">
        <v>0</v>
      </c>
      <c r="C16" s="106">
        <v>0</v>
      </c>
      <c r="D16" s="106">
        <v>0</v>
      </c>
      <c r="E16" s="106">
        <v>0</v>
      </c>
    </row>
    <row r="17" spans="1:9" ht="14.25" customHeight="1" x14ac:dyDescent="0.2">
      <c r="A17" s="1"/>
    </row>
    <row r="18" spans="1:9" ht="14.25" customHeight="1" x14ac:dyDescent="0.2"/>
    <row r="19" spans="1:9" ht="14.25" customHeight="1" x14ac:dyDescent="0.2">
      <c r="A19" s="182" t="s">
        <v>17</v>
      </c>
      <c r="B19" s="183"/>
      <c r="C19" s="183"/>
      <c r="D19" s="183"/>
      <c r="E19" s="183"/>
      <c r="F19" s="183"/>
      <c r="G19" s="183"/>
      <c r="H19" s="183"/>
      <c r="I19" s="183"/>
    </row>
    <row r="20" spans="1:9" ht="14.25" customHeight="1" x14ac:dyDescent="0.2">
      <c r="A20" s="3" t="s">
        <v>105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3" t="s">
        <v>26</v>
      </c>
    </row>
    <row r="21" spans="1:9" ht="14.25" customHeight="1" x14ac:dyDescent="0.2">
      <c r="A21" s="4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35" si="0">SUM(B21:G21)</f>
        <v>0</v>
      </c>
      <c r="I21" s="31" t="s">
        <v>4</v>
      </c>
    </row>
    <row r="22" spans="1:9" ht="14.25" customHeight="1" x14ac:dyDescent="0.2">
      <c r="A22" s="4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0"/>
        <v>0</v>
      </c>
      <c r="I22" s="31" t="s">
        <v>4</v>
      </c>
    </row>
    <row r="23" spans="1:9" ht="14.25" customHeight="1" x14ac:dyDescent="0.2">
      <c r="A23" s="4" t="s">
        <v>29</v>
      </c>
      <c r="B23" s="5">
        <v>144000</v>
      </c>
      <c r="C23" s="5">
        <v>90000</v>
      </c>
      <c r="D23" s="5">
        <v>72000</v>
      </c>
      <c r="E23" s="5">
        <v>36500</v>
      </c>
      <c r="F23" s="5">
        <v>157500</v>
      </c>
      <c r="G23" s="5">
        <v>0</v>
      </c>
      <c r="H23" s="6">
        <f t="shared" si="0"/>
        <v>500000</v>
      </c>
      <c r="I23" s="31" t="s">
        <v>4</v>
      </c>
    </row>
    <row r="24" spans="1:9" ht="14.25" customHeight="1" x14ac:dyDescent="0.2">
      <c r="A24" s="4" t="s">
        <v>30</v>
      </c>
      <c r="B24" s="5">
        <v>0</v>
      </c>
      <c r="C24" s="5">
        <v>0</v>
      </c>
      <c r="D24" s="5">
        <v>0</v>
      </c>
      <c r="E24" s="5">
        <v>62500</v>
      </c>
      <c r="F24" s="5">
        <v>0</v>
      </c>
      <c r="G24" s="5">
        <v>78750</v>
      </c>
      <c r="H24" s="6">
        <f t="shared" si="0"/>
        <v>141250</v>
      </c>
      <c r="I24" s="31" t="s">
        <v>4</v>
      </c>
    </row>
    <row r="25" spans="1:9" ht="14.25" customHeight="1" thickBot="1" x14ac:dyDescent="0.25">
      <c r="A25" s="33" t="s">
        <v>31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5">
        <f t="shared" si="0"/>
        <v>0</v>
      </c>
      <c r="I25" s="36" t="s">
        <v>4</v>
      </c>
    </row>
    <row r="26" spans="1:9" ht="14.25" customHeight="1" x14ac:dyDescent="0.2">
      <c r="A26" s="29" t="s">
        <v>32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30">
        <f t="shared" si="0"/>
        <v>0</v>
      </c>
      <c r="I26" s="31" t="s">
        <v>5</v>
      </c>
    </row>
    <row r="27" spans="1:9" ht="14.25" customHeight="1" x14ac:dyDescent="0.2">
      <c r="A27" s="4" t="s">
        <v>33</v>
      </c>
      <c r="B27" s="5">
        <v>259200</v>
      </c>
      <c r="C27" s="5">
        <v>162000</v>
      </c>
      <c r="D27" s="5">
        <v>0</v>
      </c>
      <c r="E27" s="5">
        <v>0</v>
      </c>
      <c r="F27" s="5">
        <v>0</v>
      </c>
      <c r="G27" s="5">
        <v>0</v>
      </c>
      <c r="H27" s="6">
        <f t="shared" si="0"/>
        <v>421200</v>
      </c>
      <c r="I27" s="31" t="s">
        <v>5</v>
      </c>
    </row>
    <row r="28" spans="1:9" ht="14.25" customHeight="1" x14ac:dyDescent="0.2">
      <c r="A28" s="4" t="s">
        <v>34</v>
      </c>
      <c r="B28" s="5">
        <v>0</v>
      </c>
      <c r="C28" s="5">
        <v>0</v>
      </c>
      <c r="D28" s="5">
        <v>129600</v>
      </c>
      <c r="E28" s="5">
        <v>178200</v>
      </c>
      <c r="F28" s="5">
        <v>283500</v>
      </c>
      <c r="G28" s="5">
        <v>141750</v>
      </c>
      <c r="H28" s="6">
        <f t="shared" si="0"/>
        <v>733050</v>
      </c>
      <c r="I28" s="31" t="s">
        <v>5</v>
      </c>
    </row>
    <row r="29" spans="1:9" ht="14.25" customHeight="1" x14ac:dyDescent="0.2">
      <c r="A29" s="4" t="s">
        <v>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f t="shared" si="0"/>
        <v>0</v>
      </c>
      <c r="I29" s="31" t="s">
        <v>5</v>
      </c>
    </row>
    <row r="30" spans="1:9" ht="14.25" customHeight="1" thickBot="1" x14ac:dyDescent="0.25">
      <c r="A30" s="33" t="s">
        <v>36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5">
        <f t="shared" si="0"/>
        <v>0</v>
      </c>
      <c r="I30" s="36" t="s">
        <v>5</v>
      </c>
    </row>
    <row r="31" spans="1:9" ht="14.25" customHeight="1" x14ac:dyDescent="0.2">
      <c r="A31" s="29" t="s">
        <v>37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30">
        <f t="shared" si="0"/>
        <v>0</v>
      </c>
      <c r="I31" s="31" t="s">
        <v>6</v>
      </c>
    </row>
    <row r="32" spans="1:9" ht="14.25" customHeight="1" x14ac:dyDescent="0.2">
      <c r="A32" s="4" t="s">
        <v>38</v>
      </c>
      <c r="B32" s="5">
        <v>466560</v>
      </c>
      <c r="C32" s="5">
        <v>291600</v>
      </c>
      <c r="D32" s="5">
        <v>64340</v>
      </c>
      <c r="E32" s="5">
        <v>0</v>
      </c>
      <c r="F32" s="5">
        <v>0</v>
      </c>
      <c r="G32" s="5">
        <v>0</v>
      </c>
      <c r="H32" s="6">
        <f t="shared" si="0"/>
        <v>822500</v>
      </c>
      <c r="I32" s="31" t="s">
        <v>6</v>
      </c>
    </row>
    <row r="33" spans="1:9" ht="14.25" customHeight="1" x14ac:dyDescent="0.2">
      <c r="A33" s="4" t="s">
        <v>39</v>
      </c>
      <c r="B33" s="5">
        <v>0</v>
      </c>
      <c r="C33" s="5">
        <v>0</v>
      </c>
      <c r="D33" s="5">
        <v>168940</v>
      </c>
      <c r="E33" s="5">
        <v>320760</v>
      </c>
      <c r="F33" s="5">
        <v>510300</v>
      </c>
      <c r="G33" s="5">
        <v>0</v>
      </c>
      <c r="H33" s="6">
        <f t="shared" si="0"/>
        <v>1000000</v>
      </c>
      <c r="I33" s="31" t="s">
        <v>6</v>
      </c>
    </row>
    <row r="34" spans="1:9" ht="14.25" customHeight="1" x14ac:dyDescent="0.2">
      <c r="A34" s="4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255150</v>
      </c>
      <c r="H34" s="6">
        <f t="shared" si="0"/>
        <v>255150</v>
      </c>
      <c r="I34" s="31" t="s">
        <v>6</v>
      </c>
    </row>
    <row r="35" spans="1:9" ht="14.25" customHeight="1" thickBot="1" x14ac:dyDescent="0.25">
      <c r="A35" s="33" t="s">
        <v>41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5">
        <f t="shared" si="0"/>
        <v>0</v>
      </c>
      <c r="I35" s="36" t="s">
        <v>6</v>
      </c>
    </row>
    <row r="36" spans="1:9" ht="14.25" customHeight="1" x14ac:dyDescent="0.2">
      <c r="A36" s="32"/>
      <c r="B36" s="32"/>
      <c r="C36" s="32"/>
      <c r="D36" s="32"/>
      <c r="E36" s="32"/>
      <c r="F36" s="32"/>
      <c r="G36" s="32"/>
      <c r="H36" s="32"/>
      <c r="I36" s="32"/>
    </row>
    <row r="37" spans="1:9" ht="14.25" customHeight="1" x14ac:dyDescent="0.2"/>
    <row r="38" spans="1:9" ht="14.25" customHeight="1" x14ac:dyDescent="0.2">
      <c r="A38" s="3" t="s">
        <v>109</v>
      </c>
      <c r="B38" s="3" t="s">
        <v>4</v>
      </c>
      <c r="C38" s="3" t="s">
        <v>5</v>
      </c>
      <c r="D38" s="3" t="s">
        <v>6</v>
      </c>
    </row>
    <row r="39" spans="1:9" ht="14.25" customHeight="1" x14ac:dyDescent="0.2">
      <c r="A39" s="4" t="s">
        <v>7</v>
      </c>
      <c r="B39" s="106">
        <v>0</v>
      </c>
      <c r="C39" s="106">
        <v>0</v>
      </c>
      <c r="D39" s="106">
        <v>0</v>
      </c>
    </row>
    <row r="40" spans="1:9" ht="14.25" customHeight="1" x14ac:dyDescent="0.2">
      <c r="A40" s="4" t="s">
        <v>8</v>
      </c>
      <c r="B40" s="106">
        <v>0</v>
      </c>
      <c r="C40" s="106">
        <v>0</v>
      </c>
      <c r="D40" s="106">
        <v>0</v>
      </c>
    </row>
    <row r="41" spans="1:9" ht="14.25" customHeight="1" x14ac:dyDescent="0.2">
      <c r="A41" s="4" t="s">
        <v>9</v>
      </c>
      <c r="B41" s="106">
        <v>0</v>
      </c>
      <c r="C41" s="106">
        <v>0</v>
      </c>
      <c r="D41" s="106">
        <v>1</v>
      </c>
    </row>
    <row r="42" spans="1:9" ht="14.25" customHeight="1" x14ac:dyDescent="0.2">
      <c r="A42" s="4" t="s">
        <v>10</v>
      </c>
      <c r="B42" s="106">
        <v>0</v>
      </c>
      <c r="C42" s="106">
        <v>0</v>
      </c>
      <c r="D42" s="106">
        <v>0</v>
      </c>
    </row>
    <row r="43" spans="1:9" ht="14.25" customHeight="1" x14ac:dyDescent="0.2">
      <c r="A43" s="4" t="s">
        <v>11</v>
      </c>
      <c r="B43" s="106">
        <v>0</v>
      </c>
      <c r="C43" s="106">
        <v>1</v>
      </c>
      <c r="D43" s="106">
        <v>0</v>
      </c>
    </row>
    <row r="44" spans="1:9" ht="14.25" customHeight="1" x14ac:dyDescent="0.2">
      <c r="A44" s="4" t="s">
        <v>12</v>
      </c>
      <c r="B44" s="106">
        <v>0</v>
      </c>
      <c r="C44" s="106">
        <v>0</v>
      </c>
      <c r="D44" s="106">
        <v>0</v>
      </c>
    </row>
    <row r="45" spans="1:9" ht="14.25" customHeight="1" x14ac:dyDescent="0.2">
      <c r="A45" s="4" t="s">
        <v>13</v>
      </c>
      <c r="B45" s="106">
        <v>0</v>
      </c>
      <c r="C45" s="106">
        <v>1</v>
      </c>
      <c r="D45" s="106">
        <v>0</v>
      </c>
    </row>
    <row r="46" spans="1:9" ht="14.25" customHeight="1" x14ac:dyDescent="0.2">
      <c r="A46" s="4" t="s">
        <v>14</v>
      </c>
      <c r="B46" s="106">
        <v>0</v>
      </c>
      <c r="C46" s="106">
        <v>0</v>
      </c>
      <c r="D46" s="106">
        <v>0</v>
      </c>
    </row>
    <row r="47" spans="1:9" ht="14.25" customHeight="1" x14ac:dyDescent="0.2">
      <c r="A47" s="4" t="s">
        <v>15</v>
      </c>
      <c r="B47" s="106">
        <v>0</v>
      </c>
      <c r="C47" s="106">
        <v>0</v>
      </c>
      <c r="D47" s="106">
        <v>0</v>
      </c>
    </row>
    <row r="48" spans="1:9" ht="14.25" customHeight="1" x14ac:dyDescent="0.2">
      <c r="A48" s="4" t="s">
        <v>16</v>
      </c>
      <c r="B48" s="106">
        <v>0</v>
      </c>
      <c r="C48" s="106">
        <v>0</v>
      </c>
      <c r="D48" s="106">
        <v>0</v>
      </c>
    </row>
    <row r="49" spans="1:10" ht="14.25" customHeight="1" x14ac:dyDescent="0.2"/>
    <row r="50" spans="1:10" ht="14.25" customHeight="1" x14ac:dyDescent="0.2">
      <c r="A50" s="3" t="s">
        <v>47</v>
      </c>
      <c r="B50" s="15" t="s">
        <v>48</v>
      </c>
      <c r="C50" s="15" t="s">
        <v>49</v>
      </c>
      <c r="D50" s="15" t="s">
        <v>50</v>
      </c>
      <c r="E50" s="15" t="s">
        <v>51</v>
      </c>
      <c r="F50" s="15" t="s">
        <v>52</v>
      </c>
      <c r="G50" s="3" t="s">
        <v>25</v>
      </c>
      <c r="H50" s="3" t="s">
        <v>26</v>
      </c>
    </row>
    <row r="51" spans="1:10" ht="14.25" customHeight="1" thickBot="1" x14ac:dyDescent="0.25">
      <c r="A51" s="16" t="s">
        <v>46</v>
      </c>
      <c r="B51" s="9">
        <v>0</v>
      </c>
      <c r="C51" s="9">
        <v>0</v>
      </c>
      <c r="D51" s="9">
        <v>500000</v>
      </c>
      <c r="E51" s="9">
        <v>141250</v>
      </c>
      <c r="F51" s="9">
        <v>0</v>
      </c>
      <c r="G51" s="10">
        <f t="shared" ref="G51:G53" si="1">SUM(B51:F51)</f>
        <v>641250</v>
      </c>
      <c r="H51" s="11" t="s">
        <v>4</v>
      </c>
    </row>
    <row r="52" spans="1:10" ht="14.25" customHeight="1" thickBot="1" x14ac:dyDescent="0.25">
      <c r="A52" s="16" t="s">
        <v>46</v>
      </c>
      <c r="B52" s="9">
        <v>0</v>
      </c>
      <c r="C52" s="9">
        <v>421200</v>
      </c>
      <c r="D52" s="9">
        <v>733050</v>
      </c>
      <c r="E52" s="9">
        <v>0</v>
      </c>
      <c r="F52" s="9">
        <v>0</v>
      </c>
      <c r="G52" s="10">
        <f t="shared" si="1"/>
        <v>1154250</v>
      </c>
      <c r="H52" s="11" t="s">
        <v>5</v>
      </c>
    </row>
    <row r="53" spans="1:10" ht="14.25" customHeight="1" thickBot="1" x14ac:dyDescent="0.25">
      <c r="A53" s="16" t="s">
        <v>46</v>
      </c>
      <c r="B53" s="9">
        <v>0</v>
      </c>
      <c r="C53" s="9">
        <v>822500</v>
      </c>
      <c r="D53" s="9">
        <v>1000000</v>
      </c>
      <c r="E53" s="9">
        <v>255150</v>
      </c>
      <c r="F53" s="9">
        <v>0</v>
      </c>
      <c r="G53" s="10">
        <f t="shared" si="1"/>
        <v>2077650</v>
      </c>
      <c r="H53" s="11" t="s">
        <v>6</v>
      </c>
    </row>
    <row r="54" spans="1:10" ht="14.25" customHeight="1" x14ac:dyDescent="0.2"/>
    <row r="55" spans="1:10" ht="14.25" customHeight="1" x14ac:dyDescent="0.2"/>
    <row r="56" spans="1:10" ht="14.25" customHeight="1" x14ac:dyDescent="0.2"/>
    <row r="57" spans="1:10" ht="14.25" customHeight="1" x14ac:dyDescent="0.2"/>
    <row r="58" spans="1:10" ht="15" customHeight="1" x14ac:dyDescent="0.2">
      <c r="A58" s="204" t="s">
        <v>249</v>
      </c>
      <c r="B58" s="205"/>
      <c r="C58" s="205"/>
      <c r="D58" s="205"/>
      <c r="E58" s="205"/>
      <c r="F58" s="205"/>
      <c r="G58" s="205"/>
      <c r="H58" s="205"/>
      <c r="I58" s="206"/>
    </row>
    <row r="59" spans="1:10" ht="14.25" customHeight="1" x14ac:dyDescent="0.2">
      <c r="A59" s="182" t="s">
        <v>54</v>
      </c>
      <c r="B59" s="183"/>
      <c r="C59" s="183"/>
      <c r="D59" s="183"/>
      <c r="E59" s="183"/>
      <c r="F59" s="183"/>
      <c r="G59" s="183"/>
      <c r="H59" s="183"/>
      <c r="I59" s="183"/>
    </row>
    <row r="60" spans="1:10" ht="14.25" customHeight="1" x14ac:dyDescent="0.2">
      <c r="A60" s="144" t="s">
        <v>55</v>
      </c>
      <c r="B60" s="144" t="s">
        <v>56</v>
      </c>
      <c r="C60" s="144" t="s">
        <v>57</v>
      </c>
      <c r="D60" s="144" t="s">
        <v>58</v>
      </c>
      <c r="E60" s="144" t="s">
        <v>59</v>
      </c>
      <c r="F60" s="144" t="s">
        <v>60</v>
      </c>
      <c r="G60" s="144" t="s">
        <v>61</v>
      </c>
    </row>
    <row r="61" spans="1:10" ht="14.25" customHeight="1" x14ac:dyDescent="0.2">
      <c r="A61" s="15" t="s">
        <v>19</v>
      </c>
      <c r="B61" s="6">
        <f>SUM(B21,B22,B23,B24,B25)</f>
        <v>144000</v>
      </c>
      <c r="C61" s="6">
        <f>SUM(B26,B27,B28,B29,B30)</f>
        <v>259200</v>
      </c>
      <c r="D61" s="6">
        <f>SUM(B31,B32,B33,B34,B35)</f>
        <v>466560</v>
      </c>
      <c r="E61" s="6">
        <f>Demand!C62/Parameters!$B$5</f>
        <v>144000</v>
      </c>
      <c r="F61" s="6">
        <f>Demand!D62/Parameters!$B$5</f>
        <v>259200</v>
      </c>
      <c r="G61" s="6">
        <f>Demand!E62/Parameters!$B$5</f>
        <v>466560</v>
      </c>
    </row>
    <row r="62" spans="1:10" ht="14.25" customHeight="1" x14ac:dyDescent="0.2">
      <c r="A62" s="15" t="s">
        <v>62</v>
      </c>
      <c r="B62" s="6">
        <f>SUM(C21,C22,C23,C24,C25)</f>
        <v>90000</v>
      </c>
      <c r="C62" s="6">
        <f>SUM(C26,C27,C28,C29,C30)</f>
        <v>162000</v>
      </c>
      <c r="D62" s="6">
        <f>SUM(C31,C32,C33,C34,C35)</f>
        <v>291600</v>
      </c>
      <c r="E62" s="6">
        <f>Demand!C63/Parameters!$B$5</f>
        <v>90000</v>
      </c>
      <c r="F62" s="6">
        <f>Demand!D63/Parameters!$B$5</f>
        <v>162000</v>
      </c>
      <c r="G62" s="6">
        <f>Demand!E63/Parameters!$B$5</f>
        <v>291600</v>
      </c>
      <c r="I62" s="19"/>
      <c r="J62" s="19"/>
    </row>
    <row r="63" spans="1:10" ht="14.25" customHeight="1" x14ac:dyDescent="0.2">
      <c r="A63" s="15" t="s">
        <v>63</v>
      </c>
      <c r="B63" s="6">
        <f>SUM(D21,D22,D23,D24,D25)</f>
        <v>72000</v>
      </c>
      <c r="C63" s="6">
        <f>SUM(D26,D27,D28,D29,D30)</f>
        <v>129600</v>
      </c>
      <c r="D63" s="6">
        <f>SUM(D31,D32,D33,D34,D35)</f>
        <v>233280</v>
      </c>
      <c r="E63" s="6">
        <f>Demand!C64/Parameters!$B$5</f>
        <v>72000</v>
      </c>
      <c r="F63" s="6">
        <f>Demand!D64/Parameters!$B$5</f>
        <v>129600</v>
      </c>
      <c r="G63" s="6">
        <f>Demand!E64/Parameters!$B$5</f>
        <v>233280</v>
      </c>
    </row>
    <row r="64" spans="1:10" ht="14.25" customHeight="1" x14ac:dyDescent="0.2">
      <c r="A64" s="15" t="s">
        <v>64</v>
      </c>
      <c r="B64" s="6">
        <f>SUM(E21,E22,E23,E24,E25)</f>
        <v>99000</v>
      </c>
      <c r="C64" s="6">
        <f>SUM(E26,E27,E28,E29,E30)</f>
        <v>178200</v>
      </c>
      <c r="D64" s="6">
        <f>SUM(E31,E32,E33,E34,E35)</f>
        <v>320760</v>
      </c>
      <c r="E64" s="6">
        <f>Demand!C65/Parameters!$B$5</f>
        <v>99000</v>
      </c>
      <c r="F64" s="6">
        <f>Demand!D65/Parameters!$B$5</f>
        <v>178200</v>
      </c>
      <c r="G64" s="6">
        <f>Demand!E65/Parameters!$B$5</f>
        <v>320760</v>
      </c>
    </row>
    <row r="65" spans="1:9" ht="14.25" customHeight="1" x14ac:dyDescent="0.2">
      <c r="A65" s="15" t="s">
        <v>65</v>
      </c>
      <c r="B65" s="6">
        <f>SUM(F21,F22,F23,F24,F25)</f>
        <v>157500</v>
      </c>
      <c r="C65" s="6">
        <f>SUM(F26,F27,F28,F29,F30)</f>
        <v>283500</v>
      </c>
      <c r="D65" s="6">
        <f>SUM(F31,F32,F33,F34,F35)</f>
        <v>510300</v>
      </c>
      <c r="E65" s="6">
        <f>Demand!C66/Parameters!$B$5</f>
        <v>157500</v>
      </c>
      <c r="F65" s="6">
        <f>Demand!D66/Parameters!$B$5</f>
        <v>283500</v>
      </c>
      <c r="G65" s="6">
        <f>Demand!E66/Parameters!$B$5</f>
        <v>510300</v>
      </c>
    </row>
    <row r="66" spans="1:9" ht="14.25" customHeight="1" x14ac:dyDescent="0.2">
      <c r="A66" s="15" t="s">
        <v>66</v>
      </c>
      <c r="B66" s="6">
        <f>SUM(G21,G22,G23,G24,G25)</f>
        <v>78750</v>
      </c>
      <c r="C66" s="6">
        <f>SUM(G26,G27,G28,G29,G30)</f>
        <v>141750</v>
      </c>
      <c r="D66" s="6">
        <f>SUM(G31,G32,G33,G34,G35)</f>
        <v>255150</v>
      </c>
      <c r="E66" s="6">
        <f>Demand!C67/Parameters!$B$5</f>
        <v>78750</v>
      </c>
      <c r="F66" s="6">
        <f>Demand!D67/Parameters!$B$5</f>
        <v>141750</v>
      </c>
      <c r="G66" s="6">
        <f>Demand!E67/Parameters!$B$5</f>
        <v>255150</v>
      </c>
    </row>
    <row r="67" spans="1:9" ht="14.25" customHeight="1" x14ac:dyDescent="0.2"/>
    <row r="68" spans="1:9" ht="14.25" customHeight="1" x14ac:dyDescent="0.2">
      <c r="A68" s="182" t="s">
        <v>67</v>
      </c>
      <c r="B68" s="183"/>
      <c r="C68" s="183"/>
      <c r="D68" s="183"/>
      <c r="E68" s="183"/>
      <c r="F68" s="183"/>
      <c r="G68" s="183"/>
      <c r="H68" s="183"/>
      <c r="I68" s="183"/>
    </row>
    <row r="69" spans="1:9" ht="14.25" customHeight="1" x14ac:dyDescent="0.2">
      <c r="A69" s="144" t="s">
        <v>68</v>
      </c>
      <c r="B69" s="144" t="s">
        <v>69</v>
      </c>
      <c r="C69" s="144" t="s">
        <v>70</v>
      </c>
      <c r="D69" s="144" t="s">
        <v>71</v>
      </c>
      <c r="E69" s="144" t="s">
        <v>72</v>
      </c>
      <c r="F69" s="144" t="s">
        <v>73</v>
      </c>
      <c r="G69" s="144" t="s">
        <v>74</v>
      </c>
    </row>
    <row r="70" spans="1:9" ht="14.25" customHeight="1" x14ac:dyDescent="0.2">
      <c r="A70" s="15" t="s">
        <v>48</v>
      </c>
      <c r="B70" s="6">
        <f>SUM(B21,C21,D21,E21,F21,G21)*Parameters!$B$5</f>
        <v>0</v>
      </c>
      <c r="C70" s="6">
        <f>SUM(B26,C26,D26,E26,F26,G26)*Parameters!$B$5</f>
        <v>0</v>
      </c>
      <c r="D70" s="6">
        <f>SUM(B31,C31,D31,E31,F31,G31)*Parameters!$B$5</f>
        <v>0</v>
      </c>
      <c r="E70" s="6">
        <f>C7*Parameters!$D20+C8*Parameters!$G20</f>
        <v>0</v>
      </c>
      <c r="F70" s="6">
        <f>D7*Parameters!$D20+D8*Parameters!$G20</f>
        <v>0</v>
      </c>
      <c r="G70" s="6">
        <f>E7*Parameters!$D20+E8*Parameters!$G20</f>
        <v>0</v>
      </c>
    </row>
    <row r="71" spans="1:9" ht="14.25" customHeight="1" x14ac:dyDescent="0.2">
      <c r="A71" s="15" t="s">
        <v>49</v>
      </c>
      <c r="B71" s="6">
        <f>SUM(B22,C22,D22,E22,F22,G22)*Parameters!$B$5</f>
        <v>0</v>
      </c>
      <c r="C71" s="6">
        <f>SUM(B27,C27,D27,E27,F27,G27)*Parameters!$B$5</f>
        <v>1684800</v>
      </c>
      <c r="D71" s="6">
        <f>SUM(B32,C32,D32,E32,F32,G32)*Parameters!$B$5</f>
        <v>3290000</v>
      </c>
      <c r="E71" s="6">
        <f>C9*Parameters!$D21+C10*Parameters!$G21</f>
        <v>0</v>
      </c>
      <c r="F71" s="6">
        <f>D9*Parameters!$D21+D10*Parameters!$G21</f>
        <v>2000000</v>
      </c>
      <c r="G71" s="6">
        <f>E9*Parameters!$D21+E10*Parameters!$G21</f>
        <v>4000000</v>
      </c>
    </row>
    <row r="72" spans="1:9" ht="14.25" customHeight="1" x14ac:dyDescent="0.2">
      <c r="A72" s="15" t="s">
        <v>50</v>
      </c>
      <c r="B72" s="6">
        <f>SUM(B23,C23,D23,E23,F23,G23)*Parameters!$B$5</f>
        <v>2000000</v>
      </c>
      <c r="C72" s="6">
        <f>SUM(B28,C28,D28,E28,F28,G28)*Parameters!$B$5</f>
        <v>2932200</v>
      </c>
      <c r="D72" s="6">
        <f>SUM(B33,C33,D33,E33,F33,G33)*Parameters!$B$5</f>
        <v>4000000</v>
      </c>
      <c r="E72" s="6">
        <f>C11*Parameters!$D22+C12*Parameters!$G22</f>
        <v>2000000</v>
      </c>
      <c r="F72" s="6">
        <f>D11*Parameters!$D22+D12*Parameters!$G22</f>
        <v>4000000</v>
      </c>
      <c r="G72" s="6">
        <f>E11*Parameters!$D22+E12*Parameters!$G22</f>
        <v>4000000</v>
      </c>
    </row>
    <row r="73" spans="1:9" ht="14.25" customHeight="1" x14ac:dyDescent="0.2">
      <c r="A73" s="15" t="s">
        <v>51</v>
      </c>
      <c r="B73" s="6">
        <f>SUM(B24,C24,D24,E24,F24,G24)*Parameters!$B$5</f>
        <v>565000</v>
      </c>
      <c r="C73" s="6">
        <f>SUM(B29,C29,D29,E29,F29,G29)*Parameters!$B$5</f>
        <v>0</v>
      </c>
      <c r="D73" s="6">
        <f>SUM(B34,C34,D34,E34,F34,G34)*Parameters!$B$5</f>
        <v>1020600</v>
      </c>
      <c r="E73" s="6">
        <f>C13*Parameters!$D23+C14*Parameters!$G23</f>
        <v>2000000</v>
      </c>
      <c r="F73" s="6">
        <f>D13*Parameters!$D23+D14*Parameters!$G23</f>
        <v>0</v>
      </c>
      <c r="G73" s="6">
        <f>E13*Parameters!$D23+E14*Parameters!$G23</f>
        <v>2000000</v>
      </c>
    </row>
    <row r="74" spans="1:9" ht="14.25" customHeight="1" x14ac:dyDescent="0.2">
      <c r="A74" s="15" t="s">
        <v>52</v>
      </c>
      <c r="B74" s="6">
        <f>SUM(B25,C25,D25,E25,F25,G25)*Parameters!$B$5</f>
        <v>0</v>
      </c>
      <c r="C74" s="6">
        <f>SUM(B30,C30,D30,E30,F30,G30)*Parameters!$B$5</f>
        <v>0</v>
      </c>
      <c r="D74" s="6">
        <f>SUM(B35,C35,D35,E35,F35,G35)*Parameters!$B$5</f>
        <v>0</v>
      </c>
      <c r="E74" s="6">
        <f>C15*Parameters!$D24+C16*Parameters!$G24</f>
        <v>0</v>
      </c>
      <c r="F74" s="6">
        <f>D15*Parameters!$D24+D16*Parameters!$G24</f>
        <v>0</v>
      </c>
      <c r="G74" s="6">
        <f>E15*Parameters!$D24+E16*Parameters!$G24</f>
        <v>0</v>
      </c>
    </row>
    <row r="75" spans="1:9" ht="14.25" customHeight="1" x14ac:dyDescent="0.2"/>
    <row r="76" spans="1:9" ht="14.25" customHeight="1" x14ac:dyDescent="0.2">
      <c r="A76" s="182" t="s">
        <v>75</v>
      </c>
      <c r="B76" s="183"/>
      <c r="C76" s="183"/>
      <c r="D76" s="183"/>
      <c r="E76" s="183"/>
      <c r="F76" s="183"/>
      <c r="G76" s="183"/>
      <c r="H76" s="183"/>
      <c r="I76" s="183"/>
    </row>
    <row r="77" spans="1:9" ht="14.25" customHeight="1" x14ac:dyDescent="0.2">
      <c r="A77" s="144" t="s">
        <v>68</v>
      </c>
      <c r="B77" s="144" t="s">
        <v>76</v>
      </c>
      <c r="C77" s="144" t="s">
        <v>77</v>
      </c>
      <c r="D77" s="144" t="s">
        <v>78</v>
      </c>
    </row>
    <row r="78" spans="1:9" ht="14.25" customHeight="1" x14ac:dyDescent="0.2">
      <c r="A78" s="15" t="s">
        <v>48</v>
      </c>
      <c r="B78" s="20">
        <f>C7+C8</f>
        <v>0</v>
      </c>
      <c r="C78" s="20">
        <f>D7+D8</f>
        <v>0</v>
      </c>
      <c r="D78" s="20">
        <f>E7+E8</f>
        <v>0</v>
      </c>
      <c r="F78" s="19"/>
    </row>
    <row r="79" spans="1:9" ht="14.25" customHeight="1" x14ac:dyDescent="0.2">
      <c r="A79" s="15" t="s">
        <v>49</v>
      </c>
      <c r="B79" s="20">
        <f>C9+C10</f>
        <v>0</v>
      </c>
      <c r="C79" s="20">
        <f>D9+D10</f>
        <v>1</v>
      </c>
      <c r="D79" s="20">
        <f>E9+E10</f>
        <v>1</v>
      </c>
    </row>
    <row r="80" spans="1:9" ht="14.25" customHeight="1" x14ac:dyDescent="0.2">
      <c r="A80" s="15" t="s">
        <v>50</v>
      </c>
      <c r="B80" s="20">
        <f>C11+C12</f>
        <v>1</v>
      </c>
      <c r="C80" s="20">
        <f>D11+D12</f>
        <v>1</v>
      </c>
      <c r="D80" s="20">
        <f>E11+E12</f>
        <v>1</v>
      </c>
    </row>
    <row r="81" spans="1:9" ht="14.25" customHeight="1" x14ac:dyDescent="0.2">
      <c r="A81" s="15" t="s">
        <v>51</v>
      </c>
      <c r="B81" s="20">
        <f>C13+C14</f>
        <v>1</v>
      </c>
      <c r="C81" s="20">
        <f>D13+D14</f>
        <v>0</v>
      </c>
      <c r="D81" s="20">
        <f>E13+E14</f>
        <v>1</v>
      </c>
    </row>
    <row r="82" spans="1:9" ht="14.25" customHeight="1" x14ac:dyDescent="0.2">
      <c r="A82" s="15" t="s">
        <v>52</v>
      </c>
      <c r="B82" s="20">
        <f>C15+C16</f>
        <v>0</v>
      </c>
      <c r="C82" s="20">
        <f>D15+D16</f>
        <v>0</v>
      </c>
      <c r="D82" s="20">
        <f>E15+E16</f>
        <v>0</v>
      </c>
    </row>
    <row r="83" spans="1:9" ht="14.25" customHeight="1" x14ac:dyDescent="0.2"/>
    <row r="84" spans="1:9" ht="14.25" customHeight="1" x14ac:dyDescent="0.2"/>
    <row r="85" spans="1:9" ht="14.25" customHeight="1" x14ac:dyDescent="0.2">
      <c r="A85" s="182" t="s">
        <v>80</v>
      </c>
      <c r="B85" s="183"/>
      <c r="C85" s="183"/>
      <c r="D85" s="183"/>
      <c r="E85" s="183"/>
      <c r="F85" s="183"/>
      <c r="G85" s="183"/>
      <c r="H85" s="183"/>
      <c r="I85" s="183"/>
    </row>
    <row r="86" spans="1:9" ht="14.25" customHeight="1" x14ac:dyDescent="0.2">
      <c r="A86" s="145" t="s">
        <v>81</v>
      </c>
      <c r="B86" s="145" t="s">
        <v>4</v>
      </c>
      <c r="C86" s="145" t="s">
        <v>5</v>
      </c>
      <c r="D86" s="145" t="s">
        <v>6</v>
      </c>
    </row>
    <row r="87" spans="1:9" ht="14.25" customHeight="1" x14ac:dyDescent="0.2">
      <c r="A87" s="4" t="s">
        <v>7</v>
      </c>
      <c r="B87" s="22">
        <f t="shared" ref="B87:D96" si="2">B7-C7</f>
        <v>0</v>
      </c>
      <c r="C87" s="22">
        <f t="shared" si="2"/>
        <v>0</v>
      </c>
      <c r="D87" s="22">
        <f t="shared" si="2"/>
        <v>0</v>
      </c>
    </row>
    <row r="88" spans="1:9" ht="14.25" customHeight="1" x14ac:dyDescent="0.2">
      <c r="A88" s="4" t="s">
        <v>8</v>
      </c>
      <c r="B88" s="22">
        <f t="shared" si="2"/>
        <v>0</v>
      </c>
      <c r="C88" s="22">
        <f t="shared" si="2"/>
        <v>0</v>
      </c>
      <c r="D88" s="22">
        <f t="shared" si="2"/>
        <v>0</v>
      </c>
    </row>
    <row r="89" spans="1:9" ht="14.25" customHeight="1" x14ac:dyDescent="0.2">
      <c r="A89" s="4" t="s">
        <v>9</v>
      </c>
      <c r="B89" s="22">
        <f t="shared" si="2"/>
        <v>0</v>
      </c>
      <c r="C89" s="22">
        <f t="shared" si="2"/>
        <v>-1</v>
      </c>
      <c r="D89" s="22">
        <f t="shared" si="2"/>
        <v>1</v>
      </c>
    </row>
    <row r="90" spans="1:9" ht="14.25" customHeight="1" x14ac:dyDescent="0.2">
      <c r="A90" s="4" t="s">
        <v>10</v>
      </c>
      <c r="B90" s="22">
        <f t="shared" si="2"/>
        <v>0</v>
      </c>
      <c r="C90" s="22">
        <f t="shared" si="2"/>
        <v>0</v>
      </c>
      <c r="D90" s="22">
        <f t="shared" si="2"/>
        <v>-1</v>
      </c>
    </row>
    <row r="91" spans="1:9" ht="14.25" customHeight="1" x14ac:dyDescent="0.2">
      <c r="A91" s="4" t="s">
        <v>11</v>
      </c>
      <c r="B91" s="22">
        <f t="shared" si="2"/>
        <v>0</v>
      </c>
      <c r="C91" s="22">
        <f t="shared" si="2"/>
        <v>1</v>
      </c>
      <c r="D91" s="22">
        <f t="shared" si="2"/>
        <v>0</v>
      </c>
    </row>
    <row r="92" spans="1:9" ht="14.25" customHeight="1" x14ac:dyDescent="0.2">
      <c r="A92" s="4" t="s">
        <v>12</v>
      </c>
      <c r="B92" s="22">
        <f t="shared" si="2"/>
        <v>0</v>
      </c>
      <c r="C92" s="22">
        <f t="shared" si="2"/>
        <v>-1</v>
      </c>
      <c r="D92" s="22">
        <f>D12-E12</f>
        <v>0</v>
      </c>
    </row>
    <row r="93" spans="1:9" ht="14.25" customHeight="1" x14ac:dyDescent="0.2">
      <c r="A93" s="4" t="s">
        <v>13</v>
      </c>
      <c r="B93" s="22">
        <f t="shared" si="2"/>
        <v>-1</v>
      </c>
      <c r="C93" s="22">
        <f t="shared" si="2"/>
        <v>1</v>
      </c>
      <c r="D93" s="22">
        <f t="shared" si="2"/>
        <v>-1</v>
      </c>
    </row>
    <row r="94" spans="1:9" ht="14.25" customHeight="1" x14ac:dyDescent="0.2">
      <c r="A94" s="4" t="s">
        <v>14</v>
      </c>
      <c r="B94" s="22">
        <f t="shared" si="2"/>
        <v>0</v>
      </c>
      <c r="C94" s="22">
        <f t="shared" si="2"/>
        <v>0</v>
      </c>
      <c r="D94" s="22">
        <f t="shared" si="2"/>
        <v>0</v>
      </c>
    </row>
    <row r="95" spans="1:9" ht="14.25" customHeight="1" x14ac:dyDescent="0.2">
      <c r="A95" s="4" t="s">
        <v>15</v>
      </c>
      <c r="B95" s="22">
        <f t="shared" si="2"/>
        <v>0</v>
      </c>
      <c r="C95" s="22">
        <f t="shared" si="2"/>
        <v>0</v>
      </c>
      <c r="D95" s="22">
        <f t="shared" si="2"/>
        <v>0</v>
      </c>
    </row>
    <row r="96" spans="1:9" ht="14.25" customHeight="1" x14ac:dyDescent="0.2">
      <c r="A96" s="4" t="s">
        <v>16</v>
      </c>
      <c r="B96" s="22">
        <f t="shared" si="2"/>
        <v>0</v>
      </c>
      <c r="C96" s="22">
        <f t="shared" si="2"/>
        <v>0</v>
      </c>
      <c r="D96" s="22">
        <f t="shared" si="2"/>
        <v>0</v>
      </c>
    </row>
    <row r="97" spans="1:7" ht="14.25" customHeight="1" x14ac:dyDescent="0.2"/>
    <row r="98" spans="1:7" ht="14.25" customHeight="1" x14ac:dyDescent="0.2">
      <c r="A98" s="2" t="s">
        <v>208</v>
      </c>
    </row>
    <row r="99" spans="1:7" ht="14.25" customHeight="1" x14ac:dyDescent="0.2">
      <c r="A99" s="145" t="s">
        <v>83</v>
      </c>
      <c r="B99" s="144" t="s">
        <v>69</v>
      </c>
      <c r="C99" s="144" t="s">
        <v>70</v>
      </c>
      <c r="D99" s="144" t="s">
        <v>71</v>
      </c>
      <c r="E99" s="144" t="s">
        <v>84</v>
      </c>
      <c r="F99" s="144" t="s">
        <v>84</v>
      </c>
      <c r="G99" s="144" t="s">
        <v>84</v>
      </c>
    </row>
    <row r="100" spans="1:7" ht="14.25" customHeight="1" x14ac:dyDescent="0.2">
      <c r="A100" s="15" t="s">
        <v>46</v>
      </c>
      <c r="B100" s="6">
        <f>SUM(B51:F51)</f>
        <v>641250</v>
      </c>
      <c r="C100" s="6">
        <f>SUM(B52:F52)</f>
        <v>1154250</v>
      </c>
      <c r="D100" s="6">
        <f>SUM(B53:F53)</f>
        <v>2077650</v>
      </c>
      <c r="E100" s="6">
        <f>Parameters!$D38/Parameters!$B$5</f>
        <v>4250000</v>
      </c>
      <c r="F100" s="6">
        <f>Parameters!$D38/Parameters!$B$5</f>
        <v>4250000</v>
      </c>
      <c r="G100" s="6">
        <f>Parameters!$D38/Parameters!$B$5</f>
        <v>4250000</v>
      </c>
    </row>
    <row r="101" spans="1:7" ht="14.25" customHeight="1" x14ac:dyDescent="0.2"/>
    <row r="102" spans="1:7" ht="14.25" customHeight="1" x14ac:dyDescent="0.2">
      <c r="A102" s="2" t="s">
        <v>85</v>
      </c>
    </row>
    <row r="103" spans="1:7" ht="14.25" customHeight="1" x14ac:dyDescent="0.2">
      <c r="A103" s="144" t="s">
        <v>86</v>
      </c>
      <c r="B103" s="144" t="s">
        <v>87</v>
      </c>
      <c r="C103" s="144" t="s">
        <v>88</v>
      </c>
      <c r="D103" s="144" t="s">
        <v>89</v>
      </c>
      <c r="E103" s="144" t="s">
        <v>90</v>
      </c>
      <c r="F103" s="144" t="s">
        <v>91</v>
      </c>
      <c r="G103" s="144" t="s">
        <v>89</v>
      </c>
    </row>
    <row r="104" spans="1:7" ht="14.25" customHeight="1" x14ac:dyDescent="0.2">
      <c r="A104" s="15" t="s">
        <v>48</v>
      </c>
      <c r="B104" s="6">
        <f>B51</f>
        <v>0</v>
      </c>
      <c r="C104" s="6">
        <f>B52</f>
        <v>0</v>
      </c>
      <c r="D104" s="6">
        <f>B53</f>
        <v>0</v>
      </c>
      <c r="E104" s="6">
        <f>SUM($B21:$G21)</f>
        <v>0</v>
      </c>
      <c r="F104" s="6">
        <f>SUM($B26:$G26)</f>
        <v>0</v>
      </c>
      <c r="G104" s="6">
        <f t="shared" ref="G104:G108" si="3">SUM($B31:$G31)</f>
        <v>0</v>
      </c>
    </row>
    <row r="105" spans="1:7" ht="14.25" customHeight="1" x14ac:dyDescent="0.2">
      <c r="A105" s="15" t="s">
        <v>49</v>
      </c>
      <c r="B105" s="6">
        <f>C51</f>
        <v>0</v>
      </c>
      <c r="C105" s="6">
        <f>C52</f>
        <v>421200</v>
      </c>
      <c r="D105" s="6">
        <f>C53</f>
        <v>822500</v>
      </c>
      <c r="E105" s="6">
        <f>SUM($B22:$G22)</f>
        <v>0</v>
      </c>
      <c r="F105" s="6">
        <f>SUM($B27:$G27)</f>
        <v>421200</v>
      </c>
      <c r="G105" s="6">
        <f t="shared" si="3"/>
        <v>822500</v>
      </c>
    </row>
    <row r="106" spans="1:7" ht="14.25" customHeight="1" x14ac:dyDescent="0.2">
      <c r="A106" s="15" t="s">
        <v>50</v>
      </c>
      <c r="B106" s="6">
        <f>D51</f>
        <v>500000</v>
      </c>
      <c r="C106" s="6">
        <f>D52</f>
        <v>733050</v>
      </c>
      <c r="D106" s="6">
        <f>D53</f>
        <v>1000000</v>
      </c>
      <c r="E106" s="6">
        <f>SUM($B23:$G23)</f>
        <v>500000</v>
      </c>
      <c r="F106" s="6">
        <f>SUM($B28:$G28)</f>
        <v>733050</v>
      </c>
      <c r="G106" s="6">
        <f t="shared" si="3"/>
        <v>1000000</v>
      </c>
    </row>
    <row r="107" spans="1:7" ht="14.25" customHeight="1" x14ac:dyDescent="0.2">
      <c r="A107" s="15" t="s">
        <v>51</v>
      </c>
      <c r="B107" s="6">
        <f>E51</f>
        <v>141250</v>
      </c>
      <c r="C107" s="6">
        <f>E52</f>
        <v>0</v>
      </c>
      <c r="D107" s="6">
        <f>E53</f>
        <v>255150</v>
      </c>
      <c r="E107" s="6">
        <f>SUM($B24:$G24)</f>
        <v>141250</v>
      </c>
      <c r="F107" s="6">
        <f>SUM($B29:$G29)</f>
        <v>0</v>
      </c>
      <c r="G107" s="6">
        <f t="shared" si="3"/>
        <v>255150</v>
      </c>
    </row>
    <row r="108" spans="1:7" ht="14.25" customHeight="1" x14ac:dyDescent="0.2">
      <c r="A108" s="15" t="s">
        <v>52</v>
      </c>
      <c r="B108" s="6">
        <f>F51</f>
        <v>0</v>
      </c>
      <c r="C108" s="6">
        <f>F52</f>
        <v>0</v>
      </c>
      <c r="D108" s="6">
        <f>F53</f>
        <v>0</v>
      </c>
      <c r="E108" s="6">
        <f>SUM($B25:$G25)</f>
        <v>0</v>
      </c>
      <c r="F108" s="6">
        <f>SUM($B30:$G30)</f>
        <v>0</v>
      </c>
      <c r="G108" s="6">
        <f t="shared" si="3"/>
        <v>0</v>
      </c>
    </row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9" ht="15" customHeight="1" x14ac:dyDescent="0.2">
      <c r="A113" s="181" t="s">
        <v>92</v>
      </c>
      <c r="B113" s="181"/>
      <c r="C113" s="181"/>
      <c r="D113" s="181"/>
      <c r="E113" s="181"/>
      <c r="F113" s="38"/>
      <c r="G113" s="38"/>
      <c r="H113" s="38"/>
      <c r="I113" s="39"/>
    </row>
    <row r="114" spans="1:9" ht="14.25" customHeight="1" x14ac:dyDescent="0.2">
      <c r="A114" s="109" t="s">
        <v>93</v>
      </c>
      <c r="B114" s="109" t="s">
        <v>4</v>
      </c>
      <c r="C114" s="109" t="s">
        <v>5</v>
      </c>
      <c r="D114" s="109" t="s">
        <v>6</v>
      </c>
      <c r="E114" s="109" t="s">
        <v>94</v>
      </c>
    </row>
    <row r="115" spans="1:9" ht="14.25" customHeight="1" x14ac:dyDescent="0.2">
      <c r="A115" s="4" t="s">
        <v>95</v>
      </c>
      <c r="B115" s="23">
        <f>C7*Parameters!B20+C8*Parameters!E20+C9*Parameters!B21+C10*Parameters!E21+C11*Parameters!B22+C12*Parameters!E22+C13*Parameters!B23+C14*Parameters!E23+C15*Parameters!B24+C16*Parameters!E24</f>
        <v>440000</v>
      </c>
      <c r="C115" s="23">
        <f>D7*Parameters!B20+D8*Parameters!E20+D9*Parameters!B21+D10*Parameters!E21+D11*Parameters!B22+D12*Parameters!E22+D13*Parameters!B23+D14*Parameters!E23+D15*Parameters!B24+D16*Parameters!E24</f>
        <v>625000</v>
      </c>
      <c r="D115" s="23">
        <f>E7*Parameters!B20+E8*Parameters!E20+E9*Parameters!B21+E10*Parameters!E21+E11*Parameters!B22+E12*Parameters!E22+E13*Parameters!B23+E14*Parameters!E23+E15*Parameters!B24+E16*Parameters!E24</f>
        <v>1015000</v>
      </c>
      <c r="E115" s="24">
        <f t="shared" ref="E115:E123" si="4">SUM(B115:D115)</f>
        <v>2080000</v>
      </c>
    </row>
    <row r="116" spans="1:9" ht="14.25" customHeight="1" x14ac:dyDescent="0.2">
      <c r="A116" s="4" t="s">
        <v>96</v>
      </c>
      <c r="B116" s="23">
        <f>(SUM(B21,C21,D21,E21,F21,G21)*Parameters!$B$5)*Parameters!C20+(SUM(B22,C22,D22,E22,F22,G22)*Parameters!$B$5)*Parameters!C21+(SUM(B23,C23,D23,E23,F23,G23)*Parameters!$B$5)*Parameters!C22+(SUM(B24,C24,D24,E24,F24,G24)*Parameters!$B$5)*Parameters!C23+(SUM(B25,C25,D25,E25,F25,G25)*Parameters!$B$5)*Parameters!C24</f>
        <v>513000</v>
      </c>
      <c r="C116" s="23">
        <f>(SUM(B26,C26,D26,E26,F26,G26)*Parameters!$B$5)*Parameters!C20+(SUM(B27,C27,D27,E27,F27,G27)*Parameters!$B$5)*Parameters!C21+(SUM(B28,C28,D28,E28,F28,G28)*Parameters!$B$5)*Parameters!C22+(SUM(B29,C29,D29,E29,F29,G29)*Parameters!$B$5)*Parameters!C23+(SUM(B30,C30,D30,E30,F30,G30)*Parameters!$B$5)*Parameters!C24</f>
        <v>923400</v>
      </c>
      <c r="D116" s="23">
        <f>(SUM(B31,C31,D31,E31,F31,G31)*Parameters!$B$5)*Parameters!C20+(SUM(B32,C32,D32,E32,F32,G32)*Parameters!$B$5)*Parameters!C21+(SUM(B33,C33,D33,E33,F33,G33)*Parameters!$B$5)*Parameters!C22+(SUM(B34,C34,D34,E34,F34,G34)*Parameters!$B$5)*Parameters!C23+(SUM(B35,C35,D35,E35,F35,G35)*Parameters!$B$5)*Parameters!C24</f>
        <v>1662120</v>
      </c>
      <c r="E116" s="24">
        <f t="shared" si="4"/>
        <v>3098520</v>
      </c>
    </row>
    <row r="117" spans="1:9" ht="14.25" customHeight="1" x14ac:dyDescent="0.2">
      <c r="A117" s="4" t="s">
        <v>97</v>
      </c>
      <c r="B117" s="23">
        <f>(C7+C8)*Parameters!$B$9+(SUM(B21,C21,D21,E21,F21,G21)*Parameters!$B$5)*Parameters!$B$10+(C9+C10)*Parameters!$B$9+(SUM(B22,C22,D22,E22,F22,G22)*Parameters!$B$5)*Parameters!$B$10+(C11+C12)*Parameters!$B$9+(SUM(B23,C23,D23,E23,F23,G23)*Parameters!$B$5)*Parameters!$B$10+(C13+C14)*Parameters!$B$9+(SUM(B24,C24,D24,E24,F24,G24)*Parameters!$B$5)*Parameters!$B$10+(C15+C16)*Parameters!$B$9+(SUM(B25,C25,D25,E25,F25,G25)*Parameters!$B$5)*Parameters!$B$10</f>
        <v>1373225</v>
      </c>
      <c r="C117" s="23">
        <f>(D7+D8)*Parameters!$B$9+(SUM(B26,C26,D26,E26,F26,G26)*Parameters!$B$5)*Parameters!$B$10+(D9+D10)*Parameters!$B$9+(SUM(B27,C27,D27,E27,F27,G27)*Parameters!$B$5)*Parameters!$B$10+(D11+D12)*Parameters!$B$9+(SUM(B28,C28,D28,E28,F28,G28)*Parameters!$B$5)*Parameters!$B$10+(D13+D14)*Parameters!$B$9+(SUM(B29,C29,D29,E29,F29,G29)*Parameters!$B$5)*Parameters!$B$10+(D15+D16)*Parameters!$B$9+(SUM(B30,C30,D30,E30,F30,G30)*Parameters!$B$5)*Parameters!$B$10</f>
        <v>1711805</v>
      </c>
      <c r="D117" s="23">
        <f>(E7+E8)*Parameters!$B$9+(SUM(B31,C31,D31,E31,F31,G31)*Parameters!$B$5)*Parameters!$B$10+(E9+E10)*Parameters!$B$9+(SUM(B32,C32,D32,E32,F32,G32)*Parameters!$B$5)*Parameters!$B$10+(E11+E12)*Parameters!$B$9+(SUM(B33,C33,D33,E33,F33,G33)*Parameters!$B$5)*Parameters!$B$10+(E13+E14)*Parameters!$B$9+(SUM(B34,C34,D34,E34,F34,G34)*Parameters!$B$5)*Parameters!$B$10+(E15+E16)*Parameters!$B$9+(SUM(B35,C35,D35,E35,F35,G35)*Parameters!$B$5)*Parameters!$B$10</f>
        <v>2796249</v>
      </c>
      <c r="E117" s="24">
        <f t="shared" si="4"/>
        <v>5881279</v>
      </c>
    </row>
    <row r="118" spans="1:9" ht="14.25" customHeight="1" x14ac:dyDescent="0.2">
      <c r="A118" s="4" t="s">
        <v>98</v>
      </c>
      <c r="B118" s="23">
        <f>SUMPRODUCT(B21:G25,Parameters!$B$28:$G$32)</f>
        <v>1798875</v>
      </c>
      <c r="C118" s="23">
        <f>SUMPRODUCT(B26:G30,Parameters!$B$28:$G$32)</f>
        <v>3169125</v>
      </c>
      <c r="D118" s="23">
        <f>SUMPRODUCT(B31:G35,Parameters!$B$28:$G$32)</f>
        <v>5449275</v>
      </c>
      <c r="E118" s="24">
        <f t="shared" si="4"/>
        <v>10417275</v>
      </c>
    </row>
    <row r="119" spans="1:9" ht="14.25" customHeight="1" x14ac:dyDescent="0.2">
      <c r="A119" s="4" t="s">
        <v>110</v>
      </c>
      <c r="B119" s="23">
        <f>SUM(B21,C21,D21,E21,F21,G21)*Parameters!D42+SUM(B22,C22,D22,E22,F22,G22)*Parameters!D43+SUM(B23,C23,D23,E23,F23,G23)*Parameters!D44+SUM(B24,C24,D24,E24,F24,G24)*Parameters!D45+SUM(B25,C25,D25,E25,F25,G25)*Parameters!D46</f>
        <v>1673750</v>
      </c>
      <c r="C119" s="23">
        <f>SUM(B26,C26,D26,E26,F26,G26)*Parameters!D42+SUM(B27,C27,D27,E27,F27,G27)*Parameters!D43+SUM(B28,C28,D28,E28,F28,G28)*Parameters!D44+SUM(B29,C29,D29,E29,F29,G29)*Parameters!D45+SUM(B30,C30,D30,E30,F30,G30)*Parameters!D46</f>
        <v>2885625</v>
      </c>
      <c r="D119" s="23">
        <f>SUM(B31,C31,D31,E31,F31,G31)*Parameters!D42+SUM(B32,C32,D32,E32,F32,G32)*Parameters!D43+SUM(B33,C33,D33,E33,F33,G33)*Parameters!D44+SUM(B34,C34,D34,E34,F34,G34)*Parameters!D45+SUM(B35,C35,D35,E35,F35,G35)*Parameters!D46</f>
        <v>5321700</v>
      </c>
      <c r="E119" s="24">
        <f t="shared" si="4"/>
        <v>9881075</v>
      </c>
    </row>
    <row r="120" spans="1:9" ht="14.25" customHeight="1" x14ac:dyDescent="0.2">
      <c r="A120" s="4" t="s">
        <v>111</v>
      </c>
      <c r="B120" s="23">
        <f>(SUM(Demand!C62:C67))*Parameters!$B$7</f>
        <v>25650000</v>
      </c>
      <c r="C120" s="23">
        <f>(SUM(Demand!D62:D67))*Parameters!$B$7</f>
        <v>46170000</v>
      </c>
      <c r="D120" s="23">
        <f>(SUM(Demand!E62:E67))*Parameters!$B$7</f>
        <v>83106000</v>
      </c>
      <c r="E120" s="24">
        <f t="shared" si="4"/>
        <v>154926000</v>
      </c>
    </row>
    <row r="121" spans="1:9" ht="14.25" customHeight="1" x14ac:dyDescent="0.2">
      <c r="A121" s="4" t="s">
        <v>101</v>
      </c>
      <c r="B121" s="25">
        <f>Parameters!$B$8*SUM(Q4_Resillient!B39:B48)</f>
        <v>0</v>
      </c>
      <c r="C121" s="25">
        <f>Parameters!$B$8*SUM(Q4_Resillient!C39:C48)</f>
        <v>60000</v>
      </c>
      <c r="D121" s="25">
        <f>Parameters!$B$8*SUM(Q4_Resillient!D39:D48)</f>
        <v>30000</v>
      </c>
      <c r="E121" s="23">
        <f t="shared" si="4"/>
        <v>90000</v>
      </c>
    </row>
    <row r="122" spans="1:9" ht="14.25" customHeight="1" x14ac:dyDescent="0.2">
      <c r="A122" s="4" t="s">
        <v>102</v>
      </c>
      <c r="B122" s="28">
        <f>Parameters!$B$38</f>
        <v>20000</v>
      </c>
      <c r="C122" s="28">
        <f>Parameters!$B$38</f>
        <v>20000</v>
      </c>
      <c r="D122" s="28">
        <f>Parameters!$B$38</f>
        <v>20000</v>
      </c>
      <c r="E122" s="23">
        <f t="shared" si="4"/>
        <v>60000</v>
      </c>
    </row>
    <row r="123" spans="1:9" ht="14.25" customHeight="1" x14ac:dyDescent="0.2">
      <c r="A123" s="4" t="s">
        <v>103</v>
      </c>
      <c r="B123" s="25">
        <f>Parameters!$C$38*SUM(B51:F51)</f>
        <v>192375</v>
      </c>
      <c r="C123" s="25">
        <f>Parameters!$C$38*SUM(B52:F52)</f>
        <v>346275</v>
      </c>
      <c r="D123" s="25">
        <f>Parameters!$C$38*SUM(B53:F53)</f>
        <v>623295</v>
      </c>
      <c r="E123" s="23">
        <f t="shared" si="4"/>
        <v>1161945</v>
      </c>
    </row>
    <row r="124" spans="1:9" ht="14.25" customHeight="1" x14ac:dyDescent="0.2">
      <c r="A124" s="110" t="s">
        <v>104</v>
      </c>
      <c r="B124" s="26">
        <f t="shared" ref="B124:E124" si="5">SUM(B115:B123)</f>
        <v>31661225</v>
      </c>
      <c r="C124" s="26">
        <f t="shared" si="5"/>
        <v>55911230</v>
      </c>
      <c r="D124" s="26">
        <f t="shared" si="5"/>
        <v>100023639</v>
      </c>
      <c r="E124" s="27">
        <f t="shared" si="5"/>
        <v>187596094</v>
      </c>
    </row>
    <row r="125" spans="1:9" ht="14.25" customHeight="1" x14ac:dyDescent="0.2"/>
    <row r="126" spans="1:9" ht="15" customHeight="1" x14ac:dyDescent="0.2">
      <c r="A126" s="107" t="s">
        <v>216</v>
      </c>
      <c r="B126" s="41">
        <f>14*Demand!$C$68</f>
        <v>35910000</v>
      </c>
      <c r="C126" s="41">
        <f>14*Demand!$D$68</f>
        <v>64638000</v>
      </c>
      <c r="D126" s="41">
        <f>14*Demand!$E$68</f>
        <v>116348400</v>
      </c>
      <c r="E126" s="41">
        <f>SUM(B126:D126)</f>
        <v>216896400</v>
      </c>
      <c r="F126" s="38"/>
      <c r="G126" s="38"/>
      <c r="H126" s="38"/>
      <c r="I126" s="39"/>
    </row>
    <row r="127" spans="1:9" ht="14.25" customHeight="1" x14ac:dyDescent="0.2">
      <c r="A127" s="108" t="s">
        <v>217</v>
      </c>
      <c r="B127" s="41">
        <f>B126-B124</f>
        <v>4248775</v>
      </c>
      <c r="C127" s="41">
        <f>C126-C124</f>
        <v>8726770</v>
      </c>
      <c r="D127" s="41">
        <f>D126-D124</f>
        <v>16324761</v>
      </c>
      <c r="E127" s="41">
        <f>E126-E124</f>
        <v>29300306</v>
      </c>
    </row>
    <row r="128" spans="1:9" ht="14.25" customHeight="1" x14ac:dyDescent="0.2">
      <c r="A128" s="42"/>
    </row>
    <row r="129" spans="1:6" ht="14.25" customHeight="1" x14ac:dyDescent="0.2">
      <c r="A129" s="37"/>
    </row>
    <row r="130" spans="1:6" ht="14.25" customHeight="1" x14ac:dyDescent="0.2">
      <c r="A130" s="213" t="s">
        <v>259</v>
      </c>
      <c r="B130" s="213"/>
      <c r="C130" s="213"/>
      <c r="D130" s="213"/>
      <c r="E130" s="213"/>
    </row>
    <row r="131" spans="1:6" ht="14.25" customHeight="1" x14ac:dyDescent="0.2">
      <c r="A131" s="214"/>
      <c r="B131" s="214"/>
      <c r="C131" s="214"/>
      <c r="D131" s="214"/>
      <c r="E131" s="214"/>
    </row>
    <row r="132" spans="1:6" ht="14.25" customHeight="1" x14ac:dyDescent="0.2">
      <c r="A132" s="152" t="s">
        <v>248</v>
      </c>
      <c r="B132" s="152"/>
      <c r="C132" s="51"/>
      <c r="D132" s="51"/>
      <c r="E132" s="51"/>
    </row>
    <row r="133" spans="1:6" ht="14.25" customHeight="1" x14ac:dyDescent="0.2">
      <c r="A133" s="56" t="s">
        <v>219</v>
      </c>
      <c r="B133" s="58">
        <f>4/52</f>
        <v>7.6923076923076927E-2</v>
      </c>
      <c r="C133" s="123"/>
      <c r="D133" s="123"/>
      <c r="E133" s="123"/>
    </row>
    <row r="134" spans="1:6" ht="14.25" customHeight="1" x14ac:dyDescent="0.2">
      <c r="A134" s="56" t="s">
        <v>247</v>
      </c>
      <c r="B134" s="57">
        <v>14</v>
      </c>
      <c r="C134" s="51"/>
      <c r="D134" s="51"/>
      <c r="E134" s="51"/>
    </row>
    <row r="135" spans="1:6" ht="14.25" customHeight="1" x14ac:dyDescent="0.2">
      <c r="A135" s="56" t="s">
        <v>246</v>
      </c>
      <c r="B135" s="55">
        <v>4</v>
      </c>
      <c r="C135" s="51"/>
      <c r="D135" s="51"/>
      <c r="E135" s="51"/>
    </row>
    <row r="136" spans="1:6" ht="14.25" customHeight="1" x14ac:dyDescent="0.2">
      <c r="C136" s="51"/>
      <c r="D136" s="51"/>
      <c r="E136" s="51"/>
    </row>
    <row r="137" spans="1:6" ht="14.25" customHeight="1" x14ac:dyDescent="0.2">
      <c r="A137" s="213" t="s">
        <v>245</v>
      </c>
      <c r="B137" s="213"/>
      <c r="C137" s="213"/>
      <c r="D137" s="213"/>
      <c r="E137" s="213"/>
      <c r="F137" s="213"/>
    </row>
    <row r="138" spans="1:6" ht="14.25" customHeight="1" x14ac:dyDescent="0.2">
      <c r="A138" s="153"/>
      <c r="B138" s="153"/>
      <c r="C138" s="153" t="s">
        <v>4</v>
      </c>
      <c r="D138" s="153" t="s">
        <v>5</v>
      </c>
      <c r="E138" s="153" t="s">
        <v>6</v>
      </c>
      <c r="F138" s="153" t="s">
        <v>244</v>
      </c>
    </row>
    <row r="139" spans="1:6" ht="14.25" customHeight="1" x14ac:dyDescent="0.2">
      <c r="A139" s="215" t="s">
        <v>260</v>
      </c>
      <c r="B139" s="52" t="s">
        <v>265</v>
      </c>
      <c r="C139" s="54">
        <f>H23*4</f>
        <v>2000000</v>
      </c>
      <c r="D139" s="54">
        <f>H28*4</f>
        <v>2932200</v>
      </c>
      <c r="E139" s="54">
        <f>H33*4</f>
        <v>4000000</v>
      </c>
      <c r="F139" s="54">
        <f>SUM(C139:E139)</f>
        <v>8932200</v>
      </c>
    </row>
    <row r="140" spans="1:6" ht="14.25" customHeight="1" x14ac:dyDescent="0.2">
      <c r="A140" s="216"/>
      <c r="B140" s="52" t="s">
        <v>263</v>
      </c>
      <c r="C140" s="54">
        <f>IF(C11=1,2000000,IF(C12=1,4000000,0))</f>
        <v>2000000</v>
      </c>
      <c r="D140" s="54">
        <f>IF(D11=1,2000000,IF(D12=1,4000000,0))</f>
        <v>4000000</v>
      </c>
      <c r="E140" s="54">
        <f>IF(E11=1,2000000,IF(E12=1,4000000,0))</f>
        <v>4000000</v>
      </c>
      <c r="F140" s="54">
        <f>SUM(C140:E140)</f>
        <v>10000000</v>
      </c>
    </row>
    <row r="141" spans="1:6" ht="14.25" customHeight="1" x14ac:dyDescent="0.2">
      <c r="A141" s="216"/>
      <c r="B141" s="52" t="s">
        <v>266</v>
      </c>
      <c r="C141" s="54">
        <f>C139*$B$133</f>
        <v>153846.15384615384</v>
      </c>
      <c r="D141" s="54">
        <f>D139*$B$133</f>
        <v>225553.84615384616</v>
      </c>
      <c r="E141" s="54">
        <f>E139*$B$133</f>
        <v>307692.30769230769</v>
      </c>
      <c r="F141" s="54"/>
    </row>
    <row r="142" spans="1:6" ht="14.25" customHeight="1" x14ac:dyDescent="0.2">
      <c r="A142" s="216"/>
      <c r="B142" s="59" t="s">
        <v>264</v>
      </c>
      <c r="C142" s="60">
        <f>C140-C141</f>
        <v>1846153.8461538462</v>
      </c>
      <c r="D142" s="60">
        <f t="shared" ref="D142:E142" si="6">D140-D141</f>
        <v>3774446.153846154</v>
      </c>
      <c r="E142" s="60">
        <f t="shared" si="6"/>
        <v>3692307.6923076925</v>
      </c>
      <c r="F142" s="60"/>
    </row>
    <row r="143" spans="1:6" ht="14.25" customHeight="1" x14ac:dyDescent="0.2">
      <c r="A143" s="218" t="s">
        <v>261</v>
      </c>
      <c r="B143" s="136" t="s">
        <v>265</v>
      </c>
      <c r="C143" s="137">
        <f>H22*4</f>
        <v>0</v>
      </c>
      <c r="D143" s="137">
        <f>H27*4</f>
        <v>1684800</v>
      </c>
      <c r="E143" s="137">
        <f>H32*4</f>
        <v>3290000</v>
      </c>
      <c r="F143" s="137">
        <f>SUM(C143:E143)</f>
        <v>4974800</v>
      </c>
    </row>
    <row r="144" spans="1:6" ht="14.25" customHeight="1" x14ac:dyDescent="0.2">
      <c r="A144" s="216"/>
      <c r="B144" s="52" t="s">
        <v>263</v>
      </c>
      <c r="C144" s="54">
        <f>IF(C9=1,2000000,IF(C10=1,4000000,0))</f>
        <v>0</v>
      </c>
      <c r="D144" s="54">
        <f>IF(D9=1,2000000,IF(D10=1,4000000,0))</f>
        <v>2000000</v>
      </c>
      <c r="E144" s="54">
        <f>IF(E9=1,2000000,IF(E10=1,4000000,0))</f>
        <v>4000000</v>
      </c>
      <c r="F144" s="54">
        <f t="shared" ref="F144:F150" si="7">SUM(C144:E144)</f>
        <v>6000000</v>
      </c>
    </row>
    <row r="145" spans="1:6" ht="14.25" customHeight="1" x14ac:dyDescent="0.2">
      <c r="A145" s="216"/>
      <c r="B145" s="52" t="s">
        <v>266</v>
      </c>
      <c r="C145" s="54">
        <f>C143*$B$133</f>
        <v>0</v>
      </c>
      <c r="D145" s="54">
        <f t="shared" ref="D145:E145" si="8">D143*$B$133</f>
        <v>129600</v>
      </c>
      <c r="E145" s="54">
        <f t="shared" si="8"/>
        <v>253076.92307692309</v>
      </c>
      <c r="F145" s="54">
        <f t="shared" si="7"/>
        <v>382676.92307692312</v>
      </c>
    </row>
    <row r="146" spans="1:6" ht="14.25" customHeight="1" x14ac:dyDescent="0.2">
      <c r="A146" s="219"/>
      <c r="B146" s="138" t="s">
        <v>264</v>
      </c>
      <c r="C146" s="135">
        <f>C144-C145</f>
        <v>0</v>
      </c>
      <c r="D146" s="135">
        <f>D144-D145</f>
        <v>1870400</v>
      </c>
      <c r="E146" s="135">
        <f>E144-E145</f>
        <v>3746923.076923077</v>
      </c>
      <c r="F146" s="135">
        <f t="shared" si="7"/>
        <v>5617323.076923077</v>
      </c>
    </row>
    <row r="147" spans="1:6" ht="14.25" customHeight="1" x14ac:dyDescent="0.2">
      <c r="A147" s="217" t="s">
        <v>262</v>
      </c>
      <c r="B147" s="59" t="s">
        <v>265</v>
      </c>
      <c r="C147" s="139">
        <f>H24*4</f>
        <v>565000</v>
      </c>
      <c r="D147" s="139">
        <f>H29*4</f>
        <v>0</v>
      </c>
      <c r="E147" s="139">
        <f>H34*4</f>
        <v>1020600</v>
      </c>
      <c r="F147" s="60">
        <f>SUM(C147:E147)</f>
        <v>1585600</v>
      </c>
    </row>
    <row r="148" spans="1:6" ht="14.25" customHeight="1" x14ac:dyDescent="0.2">
      <c r="A148" s="217"/>
      <c r="B148" s="52" t="s">
        <v>263</v>
      </c>
      <c r="C148" s="134">
        <f>IF(C13=1,2000000,IF(C14=1,4000000,0))</f>
        <v>2000000</v>
      </c>
      <c r="D148" s="134">
        <f t="shared" ref="D148:E148" si="9">IF(D13=1,2000000,IF(D14=1,4000000,0))</f>
        <v>0</v>
      </c>
      <c r="E148" s="134">
        <f t="shared" si="9"/>
        <v>2000000</v>
      </c>
      <c r="F148" s="134">
        <f>SUM(C148:E148)</f>
        <v>4000000</v>
      </c>
    </row>
    <row r="149" spans="1:6" ht="14.25" customHeight="1" x14ac:dyDescent="0.2">
      <c r="A149" s="217"/>
      <c r="B149" s="52" t="s">
        <v>266</v>
      </c>
      <c r="C149" s="54">
        <f>C147*$B$133</f>
        <v>43461.538461538461</v>
      </c>
      <c r="D149" s="54">
        <f t="shared" ref="D149:E149" si="10">D147*$B$133</f>
        <v>0</v>
      </c>
      <c r="E149" s="54">
        <f t="shared" si="10"/>
        <v>78507.692307692312</v>
      </c>
      <c r="F149" s="54">
        <f t="shared" si="7"/>
        <v>121969.23076923078</v>
      </c>
    </row>
    <row r="150" spans="1:6" ht="14.25" customHeight="1" x14ac:dyDescent="0.2">
      <c r="A150" s="217"/>
      <c r="B150" s="138" t="s">
        <v>264</v>
      </c>
      <c r="C150" s="54">
        <f>C148-C149</f>
        <v>1956538.4615384615</v>
      </c>
      <c r="D150" s="54">
        <f>D148-D149</f>
        <v>0</v>
      </c>
      <c r="E150" s="54">
        <f>E148-E149</f>
        <v>1921492.3076923077</v>
      </c>
      <c r="F150" s="54">
        <f t="shared" si="7"/>
        <v>3878030.769230769</v>
      </c>
    </row>
    <row r="151" spans="1:6" ht="14.25" customHeight="1" x14ac:dyDescent="0.2">
      <c r="A151" s="213" t="s">
        <v>243</v>
      </c>
      <c r="B151" s="213"/>
      <c r="C151" s="213"/>
      <c r="D151" s="213"/>
      <c r="E151" s="213"/>
      <c r="F151" s="213"/>
    </row>
    <row r="152" spans="1:6" ht="14.25" customHeight="1" x14ac:dyDescent="0.2">
      <c r="A152" s="222" t="s">
        <v>267</v>
      </c>
      <c r="B152" s="52" t="s">
        <v>270</v>
      </c>
      <c r="C152" s="54">
        <f>C141</f>
        <v>153846.15384615384</v>
      </c>
      <c r="D152" s="54">
        <f>D141</f>
        <v>225553.84615384616</v>
      </c>
      <c r="E152" s="54">
        <f>E141</f>
        <v>307692.30769230769</v>
      </c>
      <c r="F152" s="51"/>
    </row>
    <row r="153" spans="1:6" ht="14.25" customHeight="1" x14ac:dyDescent="0.2">
      <c r="A153" s="222"/>
      <c r="B153" s="52" t="s">
        <v>271</v>
      </c>
      <c r="C153" s="54">
        <f>C146+C150</f>
        <v>1956538.4615384615</v>
      </c>
      <c r="D153" s="54">
        <f>D146+D150</f>
        <v>1870400</v>
      </c>
      <c r="E153" s="54">
        <f>E146+E150</f>
        <v>5668415.384615385</v>
      </c>
      <c r="F153" s="51"/>
    </row>
    <row r="154" spans="1:6" ht="14.25" customHeight="1" x14ac:dyDescent="0.2">
      <c r="A154" s="222"/>
      <c r="B154" s="52" t="s">
        <v>242</v>
      </c>
      <c r="C154" s="53">
        <f>C153-C152</f>
        <v>1802692.3076923077</v>
      </c>
      <c r="D154" s="53">
        <f>D153-D152</f>
        <v>1644846.1538461538</v>
      </c>
      <c r="E154" s="53">
        <f>E153-E152</f>
        <v>5360723.076923077</v>
      </c>
      <c r="F154" s="51"/>
    </row>
    <row r="155" spans="1:6" ht="14.25" customHeight="1" x14ac:dyDescent="0.2">
      <c r="A155" s="222"/>
      <c r="B155" s="159" t="s">
        <v>241</v>
      </c>
      <c r="C155" s="160">
        <f>C141*$B$134</f>
        <v>2153846.153846154</v>
      </c>
      <c r="D155" s="160">
        <f>D141*$B$134</f>
        <v>3157753.846153846</v>
      </c>
      <c r="E155" s="160">
        <f>E141*$B$134</f>
        <v>4307692.307692308</v>
      </c>
      <c r="F155" s="160">
        <f>C155+D155+E155</f>
        <v>9619292.307692308</v>
      </c>
    </row>
    <row r="156" spans="1:6" ht="14.25" customHeight="1" x14ac:dyDescent="0.2">
      <c r="A156" s="221" t="s">
        <v>268</v>
      </c>
      <c r="B156" s="140" t="s">
        <v>270</v>
      </c>
      <c r="C156" s="141">
        <f>C145</f>
        <v>0</v>
      </c>
      <c r="D156" s="142">
        <f>D145</f>
        <v>129600</v>
      </c>
      <c r="E156" s="142">
        <f>E145</f>
        <v>253076.92307692309</v>
      </c>
      <c r="F156" s="143"/>
    </row>
    <row r="157" spans="1:6" ht="14.25" customHeight="1" x14ac:dyDescent="0.2">
      <c r="A157" s="222"/>
      <c r="B157" s="52" t="s">
        <v>271</v>
      </c>
      <c r="C157" s="62">
        <f>0</f>
        <v>0</v>
      </c>
      <c r="D157" s="54">
        <f>D150+D142</f>
        <v>3774446.153846154</v>
      </c>
      <c r="E157" s="54">
        <f>E150+E142</f>
        <v>5613800</v>
      </c>
      <c r="F157" s="51"/>
    </row>
    <row r="158" spans="1:6" ht="14.25" customHeight="1" x14ac:dyDescent="0.2">
      <c r="A158" s="222"/>
      <c r="B158" s="52" t="s">
        <v>242</v>
      </c>
      <c r="C158" s="63">
        <f>C157-C156</f>
        <v>0</v>
      </c>
      <c r="D158" s="63">
        <f t="shared" ref="D158:E158" si="11">D157-D156</f>
        <v>3644846.153846154</v>
      </c>
      <c r="E158" s="63">
        <f t="shared" si="11"/>
        <v>5360723.076923077</v>
      </c>
      <c r="F158" s="51"/>
    </row>
    <row r="159" spans="1:6" ht="14.25" customHeight="1" x14ac:dyDescent="0.2">
      <c r="A159" s="223"/>
      <c r="B159" s="161" t="s">
        <v>241</v>
      </c>
      <c r="C159" s="162">
        <f>$B$134*C145</f>
        <v>0</v>
      </c>
      <c r="D159" s="162">
        <f>$B$134*D145</f>
        <v>1814400</v>
      </c>
      <c r="E159" s="162">
        <f>$B$134*E145</f>
        <v>3543076.9230769235</v>
      </c>
      <c r="F159" s="162">
        <f>SUM(C159:E159)</f>
        <v>5357476.9230769239</v>
      </c>
    </row>
    <row r="160" spans="1:6" ht="14.25" customHeight="1" x14ac:dyDescent="0.2">
      <c r="A160" s="220" t="s">
        <v>269</v>
      </c>
      <c r="B160" s="133" t="s">
        <v>270</v>
      </c>
      <c r="C160" s="134">
        <f>C149</f>
        <v>43461.538461538461</v>
      </c>
      <c r="D160" s="134">
        <f>D149</f>
        <v>0</v>
      </c>
      <c r="E160" s="134">
        <f>E149</f>
        <v>78507.692307692312</v>
      </c>
      <c r="F160" s="51"/>
    </row>
    <row r="161" spans="1:6" ht="14.25" customHeight="1" x14ac:dyDescent="0.2">
      <c r="A161" s="220"/>
      <c r="B161" s="52" t="s">
        <v>271</v>
      </c>
      <c r="C161" s="61">
        <f>C146+C142</f>
        <v>1846153.8461538462</v>
      </c>
      <c r="D161" s="62">
        <f>0</f>
        <v>0</v>
      </c>
      <c r="E161" s="61">
        <f>E146+E142</f>
        <v>7439230.7692307699</v>
      </c>
      <c r="F161" s="51"/>
    </row>
    <row r="162" spans="1:6" ht="14.25" customHeight="1" x14ac:dyDescent="0.2">
      <c r="A162" s="220"/>
      <c r="B162" s="52" t="s">
        <v>242</v>
      </c>
      <c r="C162" s="63">
        <f>C161-C160</f>
        <v>1802692.3076923077</v>
      </c>
      <c r="D162" s="63">
        <f t="shared" ref="D162:E162" si="12">D161-D160</f>
        <v>0</v>
      </c>
      <c r="E162" s="63">
        <f t="shared" si="12"/>
        <v>7360723.0769230779</v>
      </c>
      <c r="F162" s="51"/>
    </row>
    <row r="163" spans="1:6" ht="14.25" customHeight="1" x14ac:dyDescent="0.2">
      <c r="A163" s="220"/>
      <c r="B163" s="159" t="s">
        <v>241</v>
      </c>
      <c r="C163" s="163">
        <f>$B$134*C149</f>
        <v>608461.5384615385</v>
      </c>
      <c r="D163" s="163">
        <f>$B$134*D149</f>
        <v>0</v>
      </c>
      <c r="E163" s="163">
        <f>$B$134*E149</f>
        <v>1099107.6923076925</v>
      </c>
      <c r="F163" s="163">
        <f>SUM(C163:E163)</f>
        <v>1707569.230769231</v>
      </c>
    </row>
    <row r="164" spans="1:6" ht="14.25" customHeight="1" x14ac:dyDescent="0.2">
      <c r="A164" s="51"/>
      <c r="B164" s="51"/>
      <c r="C164" s="51"/>
      <c r="D164" s="51"/>
      <c r="E164" s="51"/>
    </row>
    <row r="165" spans="1:6" ht="14.25" customHeight="1" x14ac:dyDescent="0.2">
      <c r="A165" s="51"/>
      <c r="B165" s="51"/>
      <c r="C165" s="51"/>
      <c r="D165" s="51"/>
      <c r="E165" s="51"/>
    </row>
    <row r="166" spans="1:6" ht="14.25" customHeight="1" x14ac:dyDescent="0.2">
      <c r="A166" s="51"/>
      <c r="B166" s="51"/>
      <c r="C166" s="51"/>
      <c r="D166" s="51"/>
      <c r="E166" s="51"/>
    </row>
    <row r="167" spans="1:6" ht="14.25" customHeight="1" x14ac:dyDescent="0.2">
      <c r="A167" s="211" t="s">
        <v>223</v>
      </c>
      <c r="B167" s="212"/>
      <c r="C167" s="212"/>
      <c r="D167" s="212"/>
      <c r="E167" s="212"/>
    </row>
    <row r="168" spans="1:6" ht="14.25" customHeight="1" x14ac:dyDescent="0.2">
      <c r="A168" s="154"/>
      <c r="B168" s="155">
        <v>2025</v>
      </c>
      <c r="C168" s="155">
        <v>2026</v>
      </c>
      <c r="D168" s="155">
        <v>2027</v>
      </c>
      <c r="E168" s="155" t="s">
        <v>272</v>
      </c>
    </row>
    <row r="169" spans="1:6" ht="14.25" customHeight="1" x14ac:dyDescent="0.2">
      <c r="A169" s="156" t="s">
        <v>220</v>
      </c>
      <c r="B169" s="157">
        <f>Q4_Resillient!B124</f>
        <v>31661225</v>
      </c>
      <c r="C169" s="157">
        <f>Q4_Resillient!C124</f>
        <v>55911230</v>
      </c>
      <c r="D169" s="157">
        <f>Q4_Resillient!D124</f>
        <v>100023639</v>
      </c>
      <c r="E169" s="157">
        <f>Q4_Resillient!E124</f>
        <v>187596094</v>
      </c>
    </row>
    <row r="170" spans="1:6" ht="14.25" customHeight="1" x14ac:dyDescent="0.2">
      <c r="A170" s="156" t="s">
        <v>221</v>
      </c>
      <c r="B170" s="157">
        <f>Q2_Model_Baseline!B124</f>
        <v>31159350</v>
      </c>
      <c r="C170" s="157">
        <f>Q2_Model_Baseline!C124</f>
        <v>55851230</v>
      </c>
      <c r="D170" s="157">
        <f>Q2_Model_Baseline!D124</f>
        <v>100023639</v>
      </c>
      <c r="E170" s="157">
        <f>Q2_Model_Baseline!E124</f>
        <v>187034219</v>
      </c>
    </row>
    <row r="171" spans="1:6" ht="14.25" customHeight="1" x14ac:dyDescent="0.2">
      <c r="A171" s="156" t="s">
        <v>222</v>
      </c>
      <c r="B171" s="158"/>
      <c r="C171" s="158"/>
      <c r="D171" s="158"/>
      <c r="E171" s="157">
        <f>E169-E170</f>
        <v>561875</v>
      </c>
    </row>
    <row r="172" spans="1:6" ht="14.25" customHeight="1" x14ac:dyDescent="0.2"/>
    <row r="173" spans="1:6" ht="14.25" customHeight="1" x14ac:dyDescent="0.2"/>
    <row r="174" spans="1:6" ht="14.25" customHeight="1" x14ac:dyDescent="0.2"/>
    <row r="175" spans="1:6" ht="14.25" customHeight="1" x14ac:dyDescent="0.2"/>
    <row r="176" spans="1: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</sheetData>
  <mergeCells count="22">
    <mergeCell ref="A167:E167"/>
    <mergeCell ref="A130:E130"/>
    <mergeCell ref="A131:E131"/>
    <mergeCell ref="A151:F151"/>
    <mergeCell ref="A137:F137"/>
    <mergeCell ref="A139:A142"/>
    <mergeCell ref="A147:A150"/>
    <mergeCell ref="A143:A146"/>
    <mergeCell ref="A160:A163"/>
    <mergeCell ref="A156:A159"/>
    <mergeCell ref="A152:A155"/>
    <mergeCell ref="A113:E113"/>
    <mergeCell ref="A1:I1"/>
    <mergeCell ref="A2:I2"/>
    <mergeCell ref="A4:I4"/>
    <mergeCell ref="A5:I5"/>
    <mergeCell ref="A19:I19"/>
    <mergeCell ref="A58:I58"/>
    <mergeCell ref="A59:I59"/>
    <mergeCell ref="A68:I68"/>
    <mergeCell ref="A76:I76"/>
    <mergeCell ref="A85:I85"/>
  </mergeCells>
  <pageMargins left="0.75" right="0.75" top="1" bottom="1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105" zoomScale="55" workbookViewId="0">
      <selection activeCell="D138" sqref="D138"/>
    </sheetView>
  </sheetViews>
  <sheetFormatPr baseColWidth="10" defaultColWidth="14.5" defaultRowHeight="15" customHeight="1" x14ac:dyDescent="0.2"/>
  <cols>
    <col min="1" max="1" width="43.33203125" customWidth="1"/>
    <col min="2" max="4" width="13" customWidth="1"/>
    <col min="5" max="5" width="20.5" customWidth="1"/>
    <col min="6" max="9" width="13" customWidth="1"/>
    <col min="10" max="26" width="8.6640625" customWidth="1"/>
  </cols>
  <sheetData>
    <row r="1" spans="1:9" ht="27.75" customHeight="1" x14ac:dyDescent="0.2">
      <c r="A1" s="187" t="s">
        <v>253</v>
      </c>
      <c r="B1" s="185"/>
      <c r="C1" s="185"/>
      <c r="D1" s="185"/>
      <c r="E1" s="185"/>
      <c r="F1" s="185"/>
      <c r="G1" s="185"/>
      <c r="H1" s="185"/>
      <c r="I1" s="186"/>
    </row>
    <row r="2" spans="1:9" ht="14.25" customHeight="1" x14ac:dyDescent="0.2">
      <c r="A2" s="188"/>
      <c r="B2" s="183"/>
      <c r="C2" s="183"/>
      <c r="D2" s="183"/>
      <c r="E2" s="183"/>
      <c r="F2" s="183"/>
      <c r="G2" s="183"/>
      <c r="H2" s="183"/>
      <c r="I2" s="183"/>
    </row>
    <row r="3" spans="1:9" ht="14.25" customHeight="1" x14ac:dyDescent="0.2"/>
    <row r="4" spans="1:9" ht="15" customHeight="1" x14ac:dyDescent="0.2">
      <c r="A4" s="184" t="s">
        <v>1</v>
      </c>
      <c r="B4" s="185"/>
      <c r="C4" s="185"/>
      <c r="D4" s="185"/>
      <c r="E4" s="185"/>
      <c r="F4" s="185"/>
      <c r="G4" s="185"/>
      <c r="H4" s="185"/>
      <c r="I4" s="186"/>
    </row>
    <row r="5" spans="1:9" ht="14.25" customHeight="1" x14ac:dyDescent="0.2">
      <c r="A5" s="182" t="s">
        <v>2</v>
      </c>
      <c r="B5" s="183"/>
      <c r="C5" s="183"/>
      <c r="D5" s="183"/>
      <c r="E5" s="183"/>
      <c r="F5" s="183"/>
      <c r="G5" s="183"/>
      <c r="H5" s="183"/>
      <c r="I5" s="183"/>
    </row>
    <row r="6" spans="1:9" ht="14.25" customHeight="1" x14ac:dyDescent="0.2">
      <c r="A6" s="3" t="s">
        <v>3</v>
      </c>
      <c r="B6" s="146">
        <v>2024</v>
      </c>
      <c r="C6" s="3" t="s">
        <v>4</v>
      </c>
      <c r="D6" s="3" t="s">
        <v>5</v>
      </c>
      <c r="E6" s="3" t="s">
        <v>6</v>
      </c>
    </row>
    <row r="7" spans="1:9" ht="14.25" customHeight="1" x14ac:dyDescent="0.2">
      <c r="A7" s="4" t="s">
        <v>7</v>
      </c>
      <c r="B7" s="147">
        <v>0</v>
      </c>
      <c r="C7" s="106">
        <v>0</v>
      </c>
      <c r="D7" s="106">
        <v>0</v>
      </c>
      <c r="E7" s="106">
        <v>0</v>
      </c>
    </row>
    <row r="8" spans="1:9" ht="14.25" customHeight="1" x14ac:dyDescent="0.2">
      <c r="A8" s="4" t="s">
        <v>8</v>
      </c>
      <c r="B8" s="147">
        <v>0</v>
      </c>
      <c r="C8" s="106">
        <v>1</v>
      </c>
      <c r="D8" s="106">
        <v>1</v>
      </c>
      <c r="E8" s="106">
        <v>1</v>
      </c>
    </row>
    <row r="9" spans="1:9" ht="14.25" customHeight="1" x14ac:dyDescent="0.2">
      <c r="A9" s="4" t="s">
        <v>9</v>
      </c>
      <c r="B9" s="147">
        <v>0</v>
      </c>
      <c r="C9" s="106">
        <v>0</v>
      </c>
      <c r="D9" s="106">
        <v>0</v>
      </c>
      <c r="E9" s="106">
        <v>0</v>
      </c>
    </row>
    <row r="10" spans="1:9" ht="14.25" customHeight="1" x14ac:dyDescent="0.2">
      <c r="A10" s="4" t="s">
        <v>10</v>
      </c>
      <c r="B10" s="147">
        <v>0</v>
      </c>
      <c r="C10" s="106">
        <v>0</v>
      </c>
      <c r="D10" s="106">
        <v>0</v>
      </c>
      <c r="E10" s="106">
        <v>0</v>
      </c>
    </row>
    <row r="11" spans="1:9" ht="14.25" customHeight="1" x14ac:dyDescent="0.2">
      <c r="A11" s="4" t="s">
        <v>11</v>
      </c>
      <c r="B11" s="147">
        <v>1</v>
      </c>
      <c r="C11" s="106">
        <v>0</v>
      </c>
      <c r="D11" s="106">
        <v>1</v>
      </c>
      <c r="E11" s="106">
        <v>0</v>
      </c>
    </row>
    <row r="12" spans="1:9" ht="14.25" customHeight="1" x14ac:dyDescent="0.2">
      <c r="A12" s="4" t="s">
        <v>12</v>
      </c>
      <c r="B12" s="147">
        <v>0</v>
      </c>
      <c r="C12" s="106">
        <v>0</v>
      </c>
      <c r="D12" s="106">
        <v>0</v>
      </c>
      <c r="E12" s="106">
        <v>1</v>
      </c>
    </row>
    <row r="13" spans="1:9" ht="14.25" customHeight="1" x14ac:dyDescent="0.2">
      <c r="A13" s="4" t="s">
        <v>13</v>
      </c>
      <c r="B13" s="147">
        <v>0</v>
      </c>
      <c r="C13" s="106">
        <v>0</v>
      </c>
      <c r="D13" s="106">
        <v>0</v>
      </c>
      <c r="E13" s="106">
        <v>1</v>
      </c>
    </row>
    <row r="14" spans="1:9" ht="14.25" customHeight="1" x14ac:dyDescent="0.2">
      <c r="A14" s="4" t="s">
        <v>14</v>
      </c>
      <c r="B14" s="147">
        <v>0</v>
      </c>
      <c r="C14" s="106">
        <v>0</v>
      </c>
      <c r="D14" s="106">
        <v>0</v>
      </c>
      <c r="E14" s="106">
        <v>0</v>
      </c>
    </row>
    <row r="15" spans="1:9" ht="14.25" customHeight="1" x14ac:dyDescent="0.2">
      <c r="A15" s="4" t="s">
        <v>15</v>
      </c>
      <c r="B15" s="147">
        <v>0</v>
      </c>
      <c r="C15" s="106">
        <v>0</v>
      </c>
      <c r="D15" s="106">
        <v>0</v>
      </c>
      <c r="E15" s="106">
        <v>0</v>
      </c>
    </row>
    <row r="16" spans="1:9" ht="14.25" customHeight="1" x14ac:dyDescent="0.2">
      <c r="A16" s="4" t="s">
        <v>16</v>
      </c>
      <c r="B16" s="147">
        <v>0</v>
      </c>
      <c r="C16" s="106">
        <v>0</v>
      </c>
      <c r="D16" s="106">
        <v>0</v>
      </c>
      <c r="E16" s="106">
        <v>0</v>
      </c>
    </row>
    <row r="17" spans="1:9" ht="14.25" customHeight="1" x14ac:dyDescent="0.2">
      <c r="A17" s="1"/>
    </row>
    <row r="18" spans="1:9" ht="14.25" customHeight="1" x14ac:dyDescent="0.2"/>
    <row r="19" spans="1:9" ht="14.25" customHeight="1" x14ac:dyDescent="0.2">
      <c r="A19" s="182" t="s">
        <v>17</v>
      </c>
      <c r="B19" s="183"/>
      <c r="C19" s="183"/>
      <c r="D19" s="183"/>
      <c r="E19" s="183"/>
      <c r="F19" s="183"/>
      <c r="G19" s="183"/>
      <c r="H19" s="183"/>
      <c r="I19" s="183"/>
    </row>
    <row r="20" spans="1:9" ht="14.25" customHeight="1" x14ac:dyDescent="0.2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3" t="s">
        <v>26</v>
      </c>
    </row>
    <row r="21" spans="1:9" ht="14.25" customHeight="1" x14ac:dyDescent="0.2">
      <c r="A21" s="4" t="s">
        <v>27</v>
      </c>
      <c r="B21" s="5">
        <v>144000</v>
      </c>
      <c r="C21" s="5">
        <v>90000</v>
      </c>
      <c r="D21" s="5">
        <v>72000</v>
      </c>
      <c r="E21" s="5">
        <v>99000</v>
      </c>
      <c r="F21" s="5">
        <v>157500</v>
      </c>
      <c r="G21" s="5">
        <v>78750</v>
      </c>
      <c r="H21" s="6">
        <f t="shared" ref="H21:H35" si="0">SUM(B21:G21)</f>
        <v>641250</v>
      </c>
      <c r="I21" s="7" t="s">
        <v>4</v>
      </c>
    </row>
    <row r="22" spans="1:9" ht="14.25" customHeight="1" x14ac:dyDescent="0.2">
      <c r="A22" s="4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0"/>
        <v>0</v>
      </c>
      <c r="I22" s="7" t="s">
        <v>4</v>
      </c>
    </row>
    <row r="23" spans="1:9" ht="14.25" customHeight="1" x14ac:dyDescent="0.2">
      <c r="A23" s="4" t="s">
        <v>29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>
        <f t="shared" si="0"/>
        <v>0</v>
      </c>
      <c r="I23" s="7" t="s">
        <v>4</v>
      </c>
    </row>
    <row r="24" spans="1:9" ht="14.25" customHeight="1" x14ac:dyDescent="0.2">
      <c r="A24" s="4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0"/>
        <v>0</v>
      </c>
      <c r="I24" s="7" t="s">
        <v>4</v>
      </c>
    </row>
    <row r="25" spans="1:9" ht="14.25" customHeight="1" x14ac:dyDescent="0.2">
      <c r="A25" s="8" t="s">
        <v>31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10">
        <f t="shared" si="0"/>
        <v>0</v>
      </c>
      <c r="I25" s="11" t="s">
        <v>4</v>
      </c>
    </row>
    <row r="26" spans="1:9" ht="14.25" customHeight="1" x14ac:dyDescent="0.2">
      <c r="A26" s="12" t="s">
        <v>32</v>
      </c>
      <c r="B26" s="13">
        <v>259200</v>
      </c>
      <c r="C26" s="13">
        <v>162000</v>
      </c>
      <c r="D26" s="13">
        <v>129600</v>
      </c>
      <c r="E26" s="13">
        <v>103450</v>
      </c>
      <c r="F26" s="13">
        <v>0</v>
      </c>
      <c r="G26" s="13">
        <v>0</v>
      </c>
      <c r="H26" s="14">
        <f t="shared" si="0"/>
        <v>654250</v>
      </c>
      <c r="I26" s="7" t="s">
        <v>5</v>
      </c>
    </row>
    <row r="27" spans="1:9" ht="14.25" customHeight="1" x14ac:dyDescent="0.2">
      <c r="A27" s="4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6">
        <f t="shared" si="0"/>
        <v>0</v>
      </c>
      <c r="I27" s="7" t="s">
        <v>5</v>
      </c>
    </row>
    <row r="28" spans="1:9" ht="14.25" customHeight="1" x14ac:dyDescent="0.2">
      <c r="A28" s="4" t="s">
        <v>34</v>
      </c>
      <c r="B28" s="5">
        <v>0</v>
      </c>
      <c r="C28" s="5">
        <v>0</v>
      </c>
      <c r="D28" s="5">
        <v>0</v>
      </c>
      <c r="E28" s="5">
        <v>74750</v>
      </c>
      <c r="F28" s="5">
        <v>283500</v>
      </c>
      <c r="G28" s="5">
        <v>141750</v>
      </c>
      <c r="H28" s="6">
        <f t="shared" si="0"/>
        <v>500000</v>
      </c>
      <c r="I28" s="7" t="s">
        <v>5</v>
      </c>
    </row>
    <row r="29" spans="1:9" ht="14.25" customHeight="1" x14ac:dyDescent="0.2">
      <c r="A29" s="4" t="s">
        <v>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f t="shared" si="0"/>
        <v>0</v>
      </c>
      <c r="I29" s="7" t="s">
        <v>5</v>
      </c>
    </row>
    <row r="30" spans="1:9" ht="14.25" customHeight="1" x14ac:dyDescent="0.2">
      <c r="A30" s="8" t="s">
        <v>36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10">
        <f t="shared" si="0"/>
        <v>0</v>
      </c>
      <c r="I30" s="11" t="s">
        <v>5</v>
      </c>
    </row>
    <row r="31" spans="1:9" ht="14.25" customHeight="1" x14ac:dyDescent="0.2">
      <c r="A31" s="12" t="s">
        <v>37</v>
      </c>
      <c r="B31" s="13">
        <v>466560</v>
      </c>
      <c r="C31" s="13">
        <v>291600</v>
      </c>
      <c r="D31" s="13">
        <v>0</v>
      </c>
      <c r="E31" s="13">
        <v>0</v>
      </c>
      <c r="F31" s="13">
        <v>0</v>
      </c>
      <c r="G31" s="13">
        <v>0</v>
      </c>
      <c r="H31" s="14">
        <f t="shared" si="0"/>
        <v>758160</v>
      </c>
      <c r="I31" s="7" t="s">
        <v>6</v>
      </c>
    </row>
    <row r="32" spans="1:9" ht="14.25" customHeight="1" x14ac:dyDescent="0.2">
      <c r="A32" s="4" t="s">
        <v>38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>
        <f t="shared" si="0"/>
        <v>0</v>
      </c>
      <c r="I32" s="7" t="s">
        <v>6</v>
      </c>
    </row>
    <row r="33" spans="1:9" ht="14.25" customHeight="1" x14ac:dyDescent="0.2">
      <c r="A33" s="4" t="s">
        <v>39</v>
      </c>
      <c r="B33" s="5">
        <v>0</v>
      </c>
      <c r="C33" s="5">
        <v>0</v>
      </c>
      <c r="D33" s="5">
        <v>233280</v>
      </c>
      <c r="E33" s="5">
        <v>320760</v>
      </c>
      <c r="F33" s="5">
        <v>445960</v>
      </c>
      <c r="G33" s="5">
        <v>0</v>
      </c>
      <c r="H33" s="6">
        <f t="shared" si="0"/>
        <v>1000000</v>
      </c>
      <c r="I33" s="7" t="s">
        <v>6</v>
      </c>
    </row>
    <row r="34" spans="1:9" ht="14.25" customHeight="1" x14ac:dyDescent="0.2">
      <c r="A34" s="4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64340</v>
      </c>
      <c r="G34" s="5">
        <v>255150</v>
      </c>
      <c r="H34" s="6">
        <f t="shared" si="0"/>
        <v>319490</v>
      </c>
      <c r="I34" s="7" t="s">
        <v>6</v>
      </c>
    </row>
    <row r="35" spans="1:9" ht="14.25" customHeight="1" x14ac:dyDescent="0.2">
      <c r="A35" s="8" t="s">
        <v>41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10">
        <f t="shared" si="0"/>
        <v>0</v>
      </c>
      <c r="I35" s="11" t="s">
        <v>6</v>
      </c>
    </row>
    <row r="36" spans="1:9" ht="14.25" customHeight="1" x14ac:dyDescent="0.2"/>
    <row r="37" spans="1:9" ht="14.25" customHeight="1" x14ac:dyDescent="0.2"/>
    <row r="38" spans="1:9" ht="14.25" customHeight="1" x14ac:dyDescent="0.2">
      <c r="A38" s="3" t="s">
        <v>42</v>
      </c>
      <c r="B38" s="3" t="s">
        <v>4</v>
      </c>
      <c r="C38" s="3" t="s">
        <v>5</v>
      </c>
      <c r="D38" s="3" t="s">
        <v>6</v>
      </c>
    </row>
    <row r="39" spans="1:9" ht="14.25" customHeight="1" x14ac:dyDescent="0.2">
      <c r="A39" s="4" t="s">
        <v>7</v>
      </c>
      <c r="B39" s="5">
        <v>0</v>
      </c>
      <c r="C39" s="5">
        <v>0</v>
      </c>
      <c r="D39" s="5">
        <v>0</v>
      </c>
    </row>
    <row r="40" spans="1:9" ht="14.25" customHeight="1" x14ac:dyDescent="0.2">
      <c r="A40" s="4" t="s">
        <v>8</v>
      </c>
      <c r="B40" s="5">
        <v>0</v>
      </c>
      <c r="C40" s="5">
        <v>0</v>
      </c>
      <c r="D40" s="5">
        <v>0</v>
      </c>
    </row>
    <row r="41" spans="1:9" ht="14.25" customHeight="1" x14ac:dyDescent="0.2">
      <c r="A41" s="4" t="s">
        <v>9</v>
      </c>
      <c r="B41" s="5">
        <v>0</v>
      </c>
      <c r="C41" s="5">
        <v>0</v>
      </c>
      <c r="D41" s="5">
        <v>0</v>
      </c>
    </row>
    <row r="42" spans="1:9" ht="14.25" customHeight="1" x14ac:dyDescent="0.2">
      <c r="A42" s="4" t="s">
        <v>10</v>
      </c>
      <c r="B42" s="5">
        <v>0</v>
      </c>
      <c r="C42" s="5">
        <v>0</v>
      </c>
      <c r="D42" s="5">
        <v>0</v>
      </c>
    </row>
    <row r="43" spans="1:9" ht="14.25" customHeight="1" x14ac:dyDescent="0.2">
      <c r="A43" s="4" t="s">
        <v>11</v>
      </c>
      <c r="B43" s="5">
        <v>1</v>
      </c>
      <c r="C43" s="5">
        <v>0</v>
      </c>
      <c r="D43" s="5">
        <v>1</v>
      </c>
    </row>
    <row r="44" spans="1:9" ht="14.25" customHeight="1" x14ac:dyDescent="0.2">
      <c r="A44" s="4" t="s">
        <v>12</v>
      </c>
      <c r="B44" s="5">
        <v>0</v>
      </c>
      <c r="C44" s="5">
        <v>0</v>
      </c>
      <c r="D44" s="5">
        <v>0</v>
      </c>
    </row>
    <row r="45" spans="1:9" ht="14.25" customHeight="1" x14ac:dyDescent="0.2">
      <c r="A45" s="4" t="s">
        <v>13</v>
      </c>
      <c r="B45" s="5">
        <v>0</v>
      </c>
      <c r="C45" s="5">
        <v>0</v>
      </c>
      <c r="D45" s="5">
        <v>0</v>
      </c>
    </row>
    <row r="46" spans="1:9" ht="14.25" customHeight="1" x14ac:dyDescent="0.2">
      <c r="A46" s="4" t="s">
        <v>14</v>
      </c>
      <c r="B46" s="5">
        <v>0</v>
      </c>
      <c r="C46" s="5">
        <v>0</v>
      </c>
      <c r="D46" s="5">
        <v>0</v>
      </c>
    </row>
    <row r="47" spans="1:9" ht="14.25" customHeight="1" x14ac:dyDescent="0.2">
      <c r="A47" s="4" t="s">
        <v>15</v>
      </c>
      <c r="B47" s="5">
        <v>0</v>
      </c>
      <c r="C47" s="5">
        <v>0</v>
      </c>
      <c r="D47" s="5">
        <v>0</v>
      </c>
    </row>
    <row r="48" spans="1:9" ht="14.25" customHeight="1" x14ac:dyDescent="0.2">
      <c r="A48" s="4" t="s">
        <v>16</v>
      </c>
      <c r="B48" s="5">
        <v>0</v>
      </c>
      <c r="C48" s="5">
        <v>0</v>
      </c>
      <c r="D48" s="5">
        <v>0</v>
      </c>
    </row>
    <row r="49" spans="1:8" ht="14.25" customHeight="1" x14ac:dyDescent="0.2"/>
    <row r="50" spans="1:8" ht="14.25" customHeight="1" x14ac:dyDescent="0.2"/>
    <row r="51" spans="1:8" ht="14.25" customHeight="1" x14ac:dyDescent="0.2">
      <c r="A51" s="3" t="s">
        <v>43</v>
      </c>
      <c r="B51" s="3" t="s">
        <v>4</v>
      </c>
      <c r="C51" s="3" t="s">
        <v>5</v>
      </c>
      <c r="D51" s="3" t="s">
        <v>6</v>
      </c>
    </row>
    <row r="52" spans="1:8" ht="14.25" customHeight="1" x14ac:dyDescent="0.2">
      <c r="A52" s="15" t="s">
        <v>44</v>
      </c>
      <c r="B52" s="106">
        <v>0</v>
      </c>
      <c r="C52" s="106">
        <v>0</v>
      </c>
      <c r="D52" s="106">
        <v>1</v>
      </c>
    </row>
    <row r="53" spans="1:8" ht="14.25" customHeight="1" x14ac:dyDescent="0.2">
      <c r="A53" s="15" t="s">
        <v>45</v>
      </c>
      <c r="B53" s="106">
        <v>1</v>
      </c>
      <c r="C53" s="106">
        <v>1</v>
      </c>
      <c r="D53" s="106">
        <v>1</v>
      </c>
    </row>
    <row r="54" spans="1:8" ht="14.25" customHeight="1" x14ac:dyDescent="0.2">
      <c r="A54" s="15" t="s">
        <v>46</v>
      </c>
      <c r="B54" s="106">
        <v>0</v>
      </c>
      <c r="C54" s="106">
        <v>1</v>
      </c>
      <c r="D54" s="106">
        <v>0</v>
      </c>
    </row>
    <row r="55" spans="1:8" ht="14.25" customHeight="1" x14ac:dyDescent="0.2"/>
    <row r="56" spans="1:8" ht="14.25" customHeight="1" x14ac:dyDescent="0.2"/>
    <row r="57" spans="1:8" ht="14.25" customHeight="1" x14ac:dyDescent="0.2">
      <c r="A57" s="113" t="s">
        <v>47</v>
      </c>
      <c r="B57" s="114" t="s">
        <v>48</v>
      </c>
      <c r="C57" s="114" t="s">
        <v>49</v>
      </c>
      <c r="D57" s="114" t="s">
        <v>50</v>
      </c>
      <c r="E57" s="114" t="s">
        <v>51</v>
      </c>
      <c r="F57" s="114" t="s">
        <v>52</v>
      </c>
      <c r="G57" s="113" t="s">
        <v>25</v>
      </c>
      <c r="H57" s="3" t="s">
        <v>26</v>
      </c>
    </row>
    <row r="58" spans="1:8" ht="14.25" customHeight="1" x14ac:dyDescent="0.2">
      <c r="A58" s="15" t="s">
        <v>44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6">
        <f t="shared" ref="G58:G66" si="1">SUM(B58:F58)</f>
        <v>0</v>
      </c>
      <c r="H58" s="7" t="s">
        <v>4</v>
      </c>
    </row>
    <row r="59" spans="1:8" ht="14.25" customHeight="1" x14ac:dyDescent="0.2">
      <c r="A59" s="15" t="s">
        <v>45</v>
      </c>
      <c r="B59" s="5">
        <v>641250</v>
      </c>
      <c r="C59" s="5">
        <v>0</v>
      </c>
      <c r="D59" s="5">
        <v>0</v>
      </c>
      <c r="E59" s="5">
        <v>0</v>
      </c>
      <c r="F59" s="5">
        <v>0</v>
      </c>
      <c r="G59" s="6">
        <f t="shared" si="1"/>
        <v>641250</v>
      </c>
      <c r="H59" s="7" t="s">
        <v>4</v>
      </c>
    </row>
    <row r="60" spans="1:8" ht="14.25" customHeight="1" x14ac:dyDescent="0.2">
      <c r="A60" s="16" t="s">
        <v>46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10">
        <f t="shared" si="1"/>
        <v>0</v>
      </c>
      <c r="H60" s="11" t="s">
        <v>4</v>
      </c>
    </row>
    <row r="61" spans="1:8" ht="14.25" customHeight="1" x14ac:dyDescent="0.2">
      <c r="A61" s="17" t="s">
        <v>44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4">
        <f t="shared" si="1"/>
        <v>0</v>
      </c>
      <c r="H61" s="7" t="s">
        <v>5</v>
      </c>
    </row>
    <row r="62" spans="1:8" ht="14.25" customHeight="1" x14ac:dyDescent="0.2">
      <c r="A62" s="15" t="s">
        <v>45</v>
      </c>
      <c r="B62" s="5">
        <v>654250</v>
      </c>
      <c r="C62" s="5">
        <v>0</v>
      </c>
      <c r="D62" s="5">
        <v>0</v>
      </c>
      <c r="E62" s="5">
        <v>0</v>
      </c>
      <c r="F62" s="5">
        <v>0</v>
      </c>
      <c r="G62" s="6">
        <f t="shared" si="1"/>
        <v>654250</v>
      </c>
      <c r="H62" s="7" t="s">
        <v>5</v>
      </c>
    </row>
    <row r="63" spans="1:8" ht="14.25" customHeight="1" x14ac:dyDescent="0.2">
      <c r="A63" s="16" t="s">
        <v>46</v>
      </c>
      <c r="B63" s="9">
        <v>0</v>
      </c>
      <c r="C63" s="9">
        <v>0</v>
      </c>
      <c r="D63" s="9">
        <v>500000</v>
      </c>
      <c r="E63" s="9">
        <v>0</v>
      </c>
      <c r="F63" s="9">
        <v>0</v>
      </c>
      <c r="G63" s="10">
        <f t="shared" si="1"/>
        <v>500000</v>
      </c>
      <c r="H63" s="11" t="s">
        <v>5</v>
      </c>
    </row>
    <row r="64" spans="1:8" ht="14.25" customHeight="1" x14ac:dyDescent="0.2">
      <c r="A64" s="17" t="s">
        <v>44</v>
      </c>
      <c r="B64" s="13">
        <v>0</v>
      </c>
      <c r="C64" s="13">
        <v>0</v>
      </c>
      <c r="D64" s="13">
        <v>430510</v>
      </c>
      <c r="E64" s="13">
        <v>319490</v>
      </c>
      <c r="F64" s="13">
        <v>0</v>
      </c>
      <c r="G64" s="14">
        <f t="shared" si="1"/>
        <v>750000</v>
      </c>
      <c r="H64" s="7" t="s">
        <v>6</v>
      </c>
    </row>
    <row r="65" spans="1:9" ht="14.25" customHeight="1" x14ac:dyDescent="0.2">
      <c r="A65" s="15" t="s">
        <v>45</v>
      </c>
      <c r="B65" s="5">
        <v>758160</v>
      </c>
      <c r="C65" s="5">
        <v>0</v>
      </c>
      <c r="D65" s="5">
        <v>569490</v>
      </c>
      <c r="E65" s="5">
        <v>0</v>
      </c>
      <c r="F65" s="5">
        <v>0</v>
      </c>
      <c r="G65" s="6">
        <f t="shared" si="1"/>
        <v>1327650</v>
      </c>
      <c r="H65" s="7" t="s">
        <v>6</v>
      </c>
    </row>
    <row r="66" spans="1:9" ht="14.25" customHeight="1" x14ac:dyDescent="0.2">
      <c r="A66" s="16" t="s">
        <v>46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10">
        <f t="shared" si="1"/>
        <v>0</v>
      </c>
      <c r="H66" s="11" t="s">
        <v>6</v>
      </c>
    </row>
    <row r="67" spans="1:9" ht="14.25" customHeight="1" x14ac:dyDescent="0.2"/>
    <row r="68" spans="1:9" ht="14.25" customHeight="1" x14ac:dyDescent="0.2"/>
    <row r="69" spans="1:9" ht="14.25" customHeight="1" x14ac:dyDescent="0.2">
      <c r="A69" s="204" t="s">
        <v>249</v>
      </c>
      <c r="B69" s="205"/>
      <c r="C69" s="205"/>
      <c r="D69" s="205"/>
      <c r="E69" s="205"/>
      <c r="F69" s="205"/>
      <c r="G69" s="205"/>
      <c r="H69" s="205"/>
      <c r="I69" s="206"/>
    </row>
    <row r="70" spans="1:9" ht="14.25" customHeight="1" x14ac:dyDescent="0.2">
      <c r="A70" s="182" t="s">
        <v>54</v>
      </c>
      <c r="B70" s="183"/>
      <c r="C70" s="183"/>
      <c r="D70" s="183"/>
      <c r="E70" s="183"/>
      <c r="F70" s="183"/>
      <c r="G70" s="183"/>
      <c r="H70" s="183"/>
      <c r="I70" s="183"/>
    </row>
    <row r="71" spans="1:9" ht="14.25" customHeight="1" x14ac:dyDescent="0.2">
      <c r="A71" s="144" t="s">
        <v>55</v>
      </c>
      <c r="B71" s="144" t="s">
        <v>56</v>
      </c>
      <c r="C71" s="144" t="s">
        <v>57</v>
      </c>
      <c r="D71" s="144" t="s">
        <v>58</v>
      </c>
      <c r="E71" s="144" t="s">
        <v>59</v>
      </c>
      <c r="F71" s="144" t="s">
        <v>60</v>
      </c>
      <c r="G71" s="144" t="s">
        <v>61</v>
      </c>
    </row>
    <row r="72" spans="1:9" ht="14.25" customHeight="1" x14ac:dyDescent="0.2">
      <c r="A72" s="15" t="s">
        <v>19</v>
      </c>
      <c r="B72" s="6">
        <f>SUM(B21,B22,B23,B24,B25)</f>
        <v>144000</v>
      </c>
      <c r="C72" s="6">
        <f>SUM(B26,B27,B28,B29,B30)</f>
        <v>259200</v>
      </c>
      <c r="D72" s="6">
        <f>SUM(B31,B32,B33,B34,B35)</f>
        <v>466560</v>
      </c>
      <c r="E72" s="6">
        <f>Demand!C62/Parameters!$B$5</f>
        <v>144000</v>
      </c>
      <c r="F72" s="6">
        <f>Demand!D62/Parameters!$B$5</f>
        <v>259200</v>
      </c>
      <c r="G72" s="6">
        <f>Demand!E62/Parameters!$B$5</f>
        <v>466560</v>
      </c>
    </row>
    <row r="73" spans="1:9" ht="14.25" customHeight="1" x14ac:dyDescent="0.2">
      <c r="A73" s="15" t="s">
        <v>62</v>
      </c>
      <c r="B73" s="6">
        <f>SUM(C21,C22,C23,C24,C25)</f>
        <v>90000</v>
      </c>
      <c r="C73" s="6">
        <f>SUM(C26,C27,C28,C29,C30)</f>
        <v>162000</v>
      </c>
      <c r="D73" s="6">
        <f>SUM(C31,C32,C33,C34,C35)</f>
        <v>291600</v>
      </c>
      <c r="E73" s="6">
        <f>Demand!C63/Parameters!$B$5</f>
        <v>90000</v>
      </c>
      <c r="F73" s="6">
        <f>Demand!D63/Parameters!$B$5</f>
        <v>162000</v>
      </c>
      <c r="G73" s="6">
        <f>Demand!E63/Parameters!$B$5</f>
        <v>291600</v>
      </c>
      <c r="I73" s="19"/>
    </row>
    <row r="74" spans="1:9" ht="14.25" customHeight="1" x14ac:dyDescent="0.2">
      <c r="A74" s="15" t="s">
        <v>63</v>
      </c>
      <c r="B74" s="6">
        <f>SUM(D21,D22,D23,D24,D25)</f>
        <v>72000</v>
      </c>
      <c r="C74" s="6">
        <f>SUM(D26,D27,D28,D29,D30)</f>
        <v>129600</v>
      </c>
      <c r="D74" s="6">
        <f>SUM(D31,D32,D33,D34,D35)</f>
        <v>233280</v>
      </c>
      <c r="E74" s="6">
        <f>Demand!C64/Parameters!$B$5</f>
        <v>72000</v>
      </c>
      <c r="F74" s="6">
        <f>Demand!D64/Parameters!$B$5</f>
        <v>129600</v>
      </c>
      <c r="G74" s="6">
        <f>Demand!E64/Parameters!$B$5</f>
        <v>233280</v>
      </c>
    </row>
    <row r="75" spans="1:9" ht="14.25" customHeight="1" x14ac:dyDescent="0.2">
      <c r="A75" s="15" t="s">
        <v>64</v>
      </c>
      <c r="B75" s="6">
        <f>SUM(E21,E22,E23,E24,E25)</f>
        <v>99000</v>
      </c>
      <c r="C75" s="6">
        <f>SUM(E26,E27,E28,E29,E30)</f>
        <v>178200</v>
      </c>
      <c r="D75" s="6">
        <f>SUM(E31,E32,E33,E34,E35)</f>
        <v>320760</v>
      </c>
      <c r="E75" s="6">
        <f>Demand!C65/Parameters!$B$5</f>
        <v>99000</v>
      </c>
      <c r="F75" s="6">
        <f>Demand!D65/Parameters!$B$5</f>
        <v>178200</v>
      </c>
      <c r="G75" s="6">
        <f>Demand!E65/Parameters!$B$5</f>
        <v>320760</v>
      </c>
    </row>
    <row r="76" spans="1:9" ht="14.25" customHeight="1" x14ac:dyDescent="0.2">
      <c r="A76" s="15" t="s">
        <v>65</v>
      </c>
      <c r="B76" s="6">
        <f>SUM(F21,F22,F23,F24,F25)</f>
        <v>157500</v>
      </c>
      <c r="C76" s="6">
        <f>SUM(F26,F27,F28,F29,F30)</f>
        <v>283500</v>
      </c>
      <c r="D76" s="6">
        <f>SUM(F31,F32,F33,F34,F35)</f>
        <v>510300</v>
      </c>
      <c r="E76" s="6">
        <f>Demand!C66/Parameters!$B$5</f>
        <v>157500</v>
      </c>
      <c r="F76" s="6">
        <f>Demand!D66/Parameters!$B$5</f>
        <v>283500</v>
      </c>
      <c r="G76" s="6">
        <f>Demand!E66/Parameters!$B$5</f>
        <v>510300</v>
      </c>
    </row>
    <row r="77" spans="1:9" ht="14.25" customHeight="1" x14ac:dyDescent="0.2">
      <c r="A77" s="15" t="s">
        <v>66</v>
      </c>
      <c r="B77" s="6">
        <f>SUM(G21,G22,G23,G24,G25)</f>
        <v>78750</v>
      </c>
      <c r="C77" s="6">
        <f>SUM(G26,G27,G28,G29,G30)</f>
        <v>141750</v>
      </c>
      <c r="D77" s="6">
        <f>SUM(G31,G32,G33,G34,G35)</f>
        <v>255150</v>
      </c>
      <c r="E77" s="6">
        <f>Demand!C67/Parameters!$B$5</f>
        <v>78750</v>
      </c>
      <c r="F77" s="6">
        <f>Demand!D67/Parameters!$B$5</f>
        <v>141750</v>
      </c>
      <c r="G77" s="6">
        <f>Demand!E67/Parameters!$B$5</f>
        <v>255150</v>
      </c>
    </row>
    <row r="78" spans="1:9" ht="14.25" customHeight="1" x14ac:dyDescent="0.2"/>
    <row r="79" spans="1:9" ht="14.25" customHeight="1" x14ac:dyDescent="0.2">
      <c r="A79" s="182" t="s">
        <v>67</v>
      </c>
      <c r="B79" s="183"/>
      <c r="C79" s="183"/>
      <c r="D79" s="183"/>
      <c r="E79" s="183"/>
      <c r="F79" s="183"/>
      <c r="G79" s="183"/>
      <c r="H79" s="183"/>
      <c r="I79" s="183"/>
    </row>
    <row r="80" spans="1:9" ht="14.25" customHeight="1" x14ac:dyDescent="0.2">
      <c r="A80" s="144" t="s">
        <v>68</v>
      </c>
      <c r="B80" s="144" t="s">
        <v>69</v>
      </c>
      <c r="C80" s="144" t="s">
        <v>70</v>
      </c>
      <c r="D80" s="144" t="s">
        <v>71</v>
      </c>
      <c r="E80" s="144" t="s">
        <v>72</v>
      </c>
      <c r="F80" s="144" t="s">
        <v>73</v>
      </c>
      <c r="G80" s="144" t="s">
        <v>74</v>
      </c>
    </row>
    <row r="81" spans="1:11" ht="14.25" customHeight="1" x14ac:dyDescent="0.2">
      <c r="A81" s="15" t="s">
        <v>48</v>
      </c>
      <c r="B81" s="6">
        <f>SUM(B21,C21,D21,E21,F21,G21)*Parameters!$B$5</f>
        <v>2565000</v>
      </c>
      <c r="C81" s="6">
        <f>SUM(B26,C26,D26,E26,F26,G26)*Parameters!$B$5</f>
        <v>2617000</v>
      </c>
      <c r="D81" s="6">
        <f>SUM(B31,C31,D31,E31,F31,G31)*Parameters!$B$5</f>
        <v>3032640</v>
      </c>
      <c r="E81" s="6">
        <f>C7*Parameters!$D20+C8*Parameters!$G20</f>
        <v>4000000</v>
      </c>
      <c r="F81" s="6">
        <f>D7*Parameters!$D20+D8*Parameters!$G20</f>
        <v>4000000</v>
      </c>
      <c r="G81" s="6">
        <f>E7*Parameters!$D20+E8*Parameters!$G20</f>
        <v>4000000</v>
      </c>
    </row>
    <row r="82" spans="1:11" ht="14.25" customHeight="1" x14ac:dyDescent="0.2">
      <c r="A82" s="15" t="s">
        <v>49</v>
      </c>
      <c r="B82" s="6">
        <f>SUM(B22,C22,D22,E22,F22,G22)*Parameters!$B$5</f>
        <v>0</v>
      </c>
      <c r="C82" s="6">
        <f>SUM(B27,C27,D27,E27,F27,G27)*Parameters!$B$5</f>
        <v>0</v>
      </c>
      <c r="D82" s="6">
        <f>SUM(B32,C32,D32,E32,F32,G32)*Parameters!$B$5</f>
        <v>0</v>
      </c>
      <c r="E82" s="6">
        <f>C9*Parameters!$D21+C10*Parameters!$G21</f>
        <v>0</v>
      </c>
      <c r="F82" s="6">
        <f>D9*Parameters!$D21+D10*Parameters!$G21</f>
        <v>0</v>
      </c>
      <c r="G82" s="6">
        <f>E9*Parameters!$D21+E10*Parameters!$G21</f>
        <v>0</v>
      </c>
    </row>
    <row r="83" spans="1:11" ht="14.25" customHeight="1" x14ac:dyDescent="0.2">
      <c r="A83" s="15" t="s">
        <v>50</v>
      </c>
      <c r="B83" s="6">
        <f>SUM(B23,C23,D23,E23,F23,G23)*Parameters!$B$5</f>
        <v>0</v>
      </c>
      <c r="C83" s="6">
        <f>SUM(B28,C28,D28,E28,F28,G28)*Parameters!$B$5</f>
        <v>2000000</v>
      </c>
      <c r="D83" s="6">
        <f>SUM(B33,C33,D33,E33,F33,G33)*Parameters!$B$5</f>
        <v>4000000</v>
      </c>
      <c r="E83" s="6">
        <f>C11*Parameters!$D22+C12*Parameters!$G22</f>
        <v>0</v>
      </c>
      <c r="F83" s="6">
        <f>D11*Parameters!$D22+D12*Parameters!$G22</f>
        <v>2000000</v>
      </c>
      <c r="G83" s="6">
        <f>E11*Parameters!$D22+E12*Parameters!$G22</f>
        <v>4000000</v>
      </c>
    </row>
    <row r="84" spans="1:11" ht="14.25" customHeight="1" x14ac:dyDescent="0.2">
      <c r="A84" s="15" t="s">
        <v>51</v>
      </c>
      <c r="B84" s="6">
        <f>SUM(B24,C24,D24,E24,F24,G24)*Parameters!$B$5</f>
        <v>0</v>
      </c>
      <c r="C84" s="6">
        <f>SUM(B29,C29,D29,E29,F29,G29)*Parameters!$B$5</f>
        <v>0</v>
      </c>
      <c r="D84" s="6">
        <f>SUM(B34,C34,D34,E34,F34,G34)*Parameters!$B$5</f>
        <v>1277960</v>
      </c>
      <c r="E84" s="6">
        <f>C13*Parameters!$D23+C14*Parameters!$G23</f>
        <v>0</v>
      </c>
      <c r="F84" s="6">
        <f>D13*Parameters!$D23+D14*Parameters!$G23</f>
        <v>0</v>
      </c>
      <c r="G84" s="6">
        <f>E13*Parameters!$D23+E14*Parameters!$G23</f>
        <v>2000000</v>
      </c>
    </row>
    <row r="85" spans="1:11" ht="14.25" customHeight="1" x14ac:dyDescent="0.2">
      <c r="A85" s="15" t="s">
        <v>52</v>
      </c>
      <c r="B85" s="6">
        <f>SUM(B25,C25,D25,E25,F25,G25)*Parameters!$B$5</f>
        <v>0</v>
      </c>
      <c r="C85" s="6">
        <f>SUM(B30,C30,D30,E30,F30,G30)*Parameters!$B$5</f>
        <v>0</v>
      </c>
      <c r="D85" s="6">
        <f>SUM(B35,C35,D35,E35,F35,G35)*Parameters!$B$5</f>
        <v>0</v>
      </c>
      <c r="E85" s="6">
        <f>C15*Parameters!$D24+C16*Parameters!$G24</f>
        <v>0</v>
      </c>
      <c r="F85" s="6">
        <f>D15*Parameters!$D24+D16*Parameters!$G24</f>
        <v>0</v>
      </c>
      <c r="G85" s="6">
        <f>E15*Parameters!$D24+E16*Parameters!$G24</f>
        <v>0</v>
      </c>
    </row>
    <row r="86" spans="1:11" ht="14.25" customHeight="1" x14ac:dyDescent="0.2"/>
    <row r="87" spans="1:11" ht="14.25" customHeight="1" x14ac:dyDescent="0.2">
      <c r="A87" s="182" t="s">
        <v>75</v>
      </c>
      <c r="B87" s="183"/>
      <c r="C87" s="183"/>
      <c r="D87" s="183"/>
      <c r="E87" s="183"/>
      <c r="F87" s="183"/>
      <c r="G87" s="183"/>
      <c r="H87" s="183"/>
      <c r="I87" s="183"/>
    </row>
    <row r="88" spans="1:11" ht="14.25" customHeight="1" x14ac:dyDescent="0.2">
      <c r="A88" s="144" t="s">
        <v>68</v>
      </c>
      <c r="B88" s="144" t="s">
        <v>76</v>
      </c>
      <c r="C88" s="144" t="s">
        <v>77</v>
      </c>
      <c r="D88" s="144" t="s">
        <v>78</v>
      </c>
    </row>
    <row r="89" spans="1:11" ht="14.25" customHeight="1" x14ac:dyDescent="0.2">
      <c r="A89" s="15" t="s">
        <v>48</v>
      </c>
      <c r="B89" s="20">
        <f t="shared" ref="B89:D89" si="2">C7+C8</f>
        <v>1</v>
      </c>
      <c r="C89" s="20">
        <f t="shared" si="2"/>
        <v>1</v>
      </c>
      <c r="D89" s="20">
        <f t="shared" si="2"/>
        <v>1</v>
      </c>
      <c r="F89" s="19"/>
      <c r="I89" s="21"/>
      <c r="J89" s="21"/>
      <c r="K89" s="21"/>
    </row>
    <row r="90" spans="1:11" ht="14.25" customHeight="1" x14ac:dyDescent="0.2">
      <c r="A90" s="15" t="s">
        <v>49</v>
      </c>
      <c r="B90" s="20">
        <f t="shared" ref="B90:D90" si="3">C9+C10</f>
        <v>0</v>
      </c>
      <c r="C90" s="20">
        <f t="shared" si="3"/>
        <v>0</v>
      </c>
      <c r="D90" s="20">
        <f t="shared" si="3"/>
        <v>0</v>
      </c>
      <c r="I90" s="21"/>
      <c r="J90" s="21"/>
      <c r="K90" s="21"/>
    </row>
    <row r="91" spans="1:11" ht="14.25" customHeight="1" x14ac:dyDescent="0.2">
      <c r="A91" s="15" t="s">
        <v>50</v>
      </c>
      <c r="B91" s="20">
        <f t="shared" ref="B91:D91" si="4">C11+C12</f>
        <v>0</v>
      </c>
      <c r="C91" s="20">
        <f t="shared" si="4"/>
        <v>1</v>
      </c>
      <c r="D91" s="20">
        <f t="shared" si="4"/>
        <v>1</v>
      </c>
      <c r="I91" s="21"/>
      <c r="J91" s="21"/>
      <c r="K91" s="21"/>
    </row>
    <row r="92" spans="1:11" ht="15" customHeight="1" x14ac:dyDescent="0.2">
      <c r="A92" s="15" t="s">
        <v>51</v>
      </c>
      <c r="B92" s="20">
        <f t="shared" ref="B92:D92" si="5">C13+C14</f>
        <v>0</v>
      </c>
      <c r="C92" s="20">
        <f t="shared" si="5"/>
        <v>0</v>
      </c>
      <c r="D92" s="20">
        <f t="shared" si="5"/>
        <v>1</v>
      </c>
      <c r="I92" s="21"/>
      <c r="J92" s="21"/>
      <c r="K92" s="21"/>
    </row>
    <row r="93" spans="1:11" ht="14.25" customHeight="1" x14ac:dyDescent="0.2">
      <c r="A93" s="15" t="s">
        <v>52</v>
      </c>
      <c r="B93" s="20">
        <f t="shared" ref="B93:D93" si="6">C15+C16</f>
        <v>0</v>
      </c>
      <c r="C93" s="20">
        <f t="shared" si="6"/>
        <v>0</v>
      </c>
      <c r="D93" s="20">
        <f t="shared" si="6"/>
        <v>0</v>
      </c>
      <c r="I93" s="21"/>
      <c r="J93" s="21"/>
      <c r="K93" s="21"/>
    </row>
    <row r="94" spans="1:11" ht="14.25" customHeight="1" x14ac:dyDescent="0.2"/>
    <row r="95" spans="1:11" ht="14.25" customHeight="1" x14ac:dyDescent="0.2"/>
    <row r="96" spans="1:11" ht="14.25" customHeight="1" x14ac:dyDescent="0.2">
      <c r="A96" s="182" t="s">
        <v>80</v>
      </c>
      <c r="B96" s="183"/>
      <c r="C96" s="183"/>
      <c r="D96" s="183"/>
      <c r="E96" s="183"/>
      <c r="F96" s="183"/>
      <c r="G96" s="183"/>
      <c r="H96" s="183"/>
      <c r="I96" s="183"/>
    </row>
    <row r="97" spans="1:7" ht="14.25" customHeight="1" x14ac:dyDescent="0.2">
      <c r="A97" s="145" t="s">
        <v>81</v>
      </c>
      <c r="B97" s="145" t="s">
        <v>4</v>
      </c>
      <c r="C97" s="145" t="s">
        <v>5</v>
      </c>
      <c r="D97" s="145" t="s">
        <v>6</v>
      </c>
    </row>
    <row r="98" spans="1:7" ht="14.25" customHeight="1" x14ac:dyDescent="0.2">
      <c r="A98" s="4" t="s">
        <v>7</v>
      </c>
      <c r="B98" s="22">
        <f t="shared" ref="B98:D98" si="7">B7-C7</f>
        <v>0</v>
      </c>
      <c r="C98" s="22">
        <f t="shared" si="7"/>
        <v>0</v>
      </c>
      <c r="D98" s="22">
        <f t="shared" si="7"/>
        <v>0</v>
      </c>
    </row>
    <row r="99" spans="1:7" ht="14.25" customHeight="1" x14ac:dyDescent="0.2">
      <c r="A99" s="4" t="s">
        <v>8</v>
      </c>
      <c r="B99" s="22">
        <f t="shared" ref="B99:D99" si="8">B8-C8</f>
        <v>-1</v>
      </c>
      <c r="C99" s="22">
        <f t="shared" si="8"/>
        <v>0</v>
      </c>
      <c r="D99" s="22">
        <f t="shared" si="8"/>
        <v>0</v>
      </c>
    </row>
    <row r="100" spans="1:7" ht="14.25" customHeight="1" x14ac:dyDescent="0.2">
      <c r="A100" s="4" t="s">
        <v>9</v>
      </c>
      <c r="B100" s="22">
        <f t="shared" ref="B100:D100" si="9">B9-C9</f>
        <v>0</v>
      </c>
      <c r="C100" s="22">
        <f t="shared" si="9"/>
        <v>0</v>
      </c>
      <c r="D100" s="22">
        <f t="shared" si="9"/>
        <v>0</v>
      </c>
    </row>
    <row r="101" spans="1:7" ht="14.25" customHeight="1" x14ac:dyDescent="0.2">
      <c r="A101" s="4" t="s">
        <v>10</v>
      </c>
      <c r="B101" s="22">
        <f t="shared" ref="B101:D101" si="10">B10-C10</f>
        <v>0</v>
      </c>
      <c r="C101" s="22">
        <f t="shared" si="10"/>
        <v>0</v>
      </c>
      <c r="D101" s="22">
        <f t="shared" si="10"/>
        <v>0</v>
      </c>
    </row>
    <row r="102" spans="1:7" ht="14.25" customHeight="1" x14ac:dyDescent="0.2">
      <c r="A102" s="4" t="s">
        <v>11</v>
      </c>
      <c r="B102" s="22">
        <f t="shared" ref="B102:D102" si="11">B11-C11</f>
        <v>1</v>
      </c>
      <c r="C102" s="22">
        <f t="shared" si="11"/>
        <v>-1</v>
      </c>
      <c r="D102" s="22">
        <f t="shared" si="11"/>
        <v>1</v>
      </c>
    </row>
    <row r="103" spans="1:7" ht="15" customHeight="1" x14ac:dyDescent="0.2">
      <c r="A103" s="4" t="s">
        <v>12</v>
      </c>
      <c r="B103" s="22">
        <f t="shared" ref="B103:D103" si="12">B12-C12</f>
        <v>0</v>
      </c>
      <c r="C103" s="22">
        <f t="shared" si="12"/>
        <v>0</v>
      </c>
      <c r="D103" s="22">
        <f t="shared" si="12"/>
        <v>-1</v>
      </c>
    </row>
    <row r="104" spans="1:7" ht="14.25" customHeight="1" x14ac:dyDescent="0.2">
      <c r="A104" s="4" t="s">
        <v>13</v>
      </c>
      <c r="B104" s="22">
        <f t="shared" ref="B104:D104" si="13">B13-C13</f>
        <v>0</v>
      </c>
      <c r="C104" s="22">
        <f t="shared" si="13"/>
        <v>0</v>
      </c>
      <c r="D104" s="22">
        <f t="shared" si="13"/>
        <v>-1</v>
      </c>
    </row>
    <row r="105" spans="1:7" ht="14.25" customHeight="1" x14ac:dyDescent="0.2">
      <c r="A105" s="4" t="s">
        <v>14</v>
      </c>
      <c r="B105" s="22">
        <f t="shared" ref="B105:D105" si="14">B14-C14</f>
        <v>0</v>
      </c>
      <c r="C105" s="22">
        <f t="shared" si="14"/>
        <v>0</v>
      </c>
      <c r="D105" s="22">
        <f t="shared" si="14"/>
        <v>0</v>
      </c>
    </row>
    <row r="106" spans="1:7" ht="14.25" customHeight="1" x14ac:dyDescent="0.2">
      <c r="A106" s="4" t="s">
        <v>15</v>
      </c>
      <c r="B106" s="22">
        <f t="shared" ref="B106:D106" si="15">B15-C15</f>
        <v>0</v>
      </c>
      <c r="C106" s="22">
        <f t="shared" si="15"/>
        <v>0</v>
      </c>
      <c r="D106" s="22">
        <f t="shared" si="15"/>
        <v>0</v>
      </c>
    </row>
    <row r="107" spans="1:7" ht="14.25" customHeight="1" x14ac:dyDescent="0.2">
      <c r="A107" s="4" t="s">
        <v>16</v>
      </c>
      <c r="B107" s="22">
        <f t="shared" ref="B107:D107" si="16">B16-C16</f>
        <v>0</v>
      </c>
      <c r="C107" s="22">
        <f t="shared" si="16"/>
        <v>0</v>
      </c>
      <c r="D107" s="22">
        <f t="shared" si="16"/>
        <v>0</v>
      </c>
    </row>
    <row r="108" spans="1:7" ht="14.25" customHeight="1" x14ac:dyDescent="0.2"/>
    <row r="109" spans="1:7" ht="14.25" customHeight="1" x14ac:dyDescent="0.2">
      <c r="A109" s="2" t="s">
        <v>82</v>
      </c>
    </row>
    <row r="110" spans="1:7" ht="14.25" customHeight="1" x14ac:dyDescent="0.2">
      <c r="A110" s="145" t="s">
        <v>83</v>
      </c>
      <c r="B110" s="144" t="s">
        <v>69</v>
      </c>
      <c r="C110" s="144" t="s">
        <v>70</v>
      </c>
      <c r="D110" s="144" t="s">
        <v>71</v>
      </c>
      <c r="E110" s="144" t="s">
        <v>84</v>
      </c>
      <c r="F110" s="144" t="s">
        <v>84</v>
      </c>
      <c r="G110" s="144" t="s">
        <v>84</v>
      </c>
    </row>
    <row r="111" spans="1:7" ht="14.25" customHeight="1" x14ac:dyDescent="0.2">
      <c r="A111" s="15" t="s">
        <v>44</v>
      </c>
      <c r="B111" s="6">
        <f t="shared" ref="B111:B113" si="17">SUM(B58:F58)</f>
        <v>0</v>
      </c>
      <c r="C111" s="6">
        <f t="shared" ref="C111:C113" si="18">SUM(B61:F61)</f>
        <v>0</v>
      </c>
      <c r="D111" s="6">
        <f t="shared" ref="D111:D113" si="19">SUM(B64:F64)</f>
        <v>750000</v>
      </c>
      <c r="E111" s="6">
        <f>Parameters!$D36*B52/Parameters!$B$5</f>
        <v>0</v>
      </c>
      <c r="F111" s="6">
        <f>Parameters!$D36*C52/Parameters!$B$5</f>
        <v>0</v>
      </c>
      <c r="G111" s="6">
        <f>Parameters!$D36*D52/Parameters!$B$5</f>
        <v>750000</v>
      </c>
    </row>
    <row r="112" spans="1:7" ht="14.25" customHeight="1" x14ac:dyDescent="0.2">
      <c r="A112" s="15" t="s">
        <v>45</v>
      </c>
      <c r="B112" s="6">
        <f t="shared" si="17"/>
        <v>641250</v>
      </c>
      <c r="C112" s="6">
        <f t="shared" si="18"/>
        <v>654250</v>
      </c>
      <c r="D112" s="6">
        <f t="shared" si="19"/>
        <v>1327650</v>
      </c>
      <c r="E112" s="6">
        <f>Parameters!$D37*B53/Parameters!$B$5</f>
        <v>1500000</v>
      </c>
      <c r="F112" s="6">
        <f>Parameters!$D37*C53/Parameters!$B$5</f>
        <v>1500000</v>
      </c>
      <c r="G112" s="6">
        <f>Parameters!$D37*D53/Parameters!$B$5</f>
        <v>1500000</v>
      </c>
    </row>
    <row r="113" spans="1:9" ht="14.25" customHeight="1" x14ac:dyDescent="0.2">
      <c r="A113" s="15" t="s">
        <v>46</v>
      </c>
      <c r="B113" s="6">
        <f t="shared" si="17"/>
        <v>0</v>
      </c>
      <c r="C113" s="6">
        <f t="shared" si="18"/>
        <v>500000</v>
      </c>
      <c r="D113" s="6">
        <f t="shared" si="19"/>
        <v>0</v>
      </c>
      <c r="E113" s="6">
        <f>Parameters!$D38*B54/Parameters!$B$5</f>
        <v>0</v>
      </c>
      <c r="F113" s="6">
        <f>Parameters!$D38*C54/Parameters!$B$5</f>
        <v>4250000</v>
      </c>
      <c r="G113" s="6">
        <f>Parameters!$D38*D54/Parameters!$B$5</f>
        <v>0</v>
      </c>
    </row>
    <row r="114" spans="1:9" ht="14.25" customHeight="1" x14ac:dyDescent="0.2"/>
    <row r="115" spans="1:9" ht="14.25" customHeight="1" x14ac:dyDescent="0.2">
      <c r="A115" s="2" t="s">
        <v>85</v>
      </c>
    </row>
    <row r="116" spans="1:9" ht="14.25" customHeight="1" x14ac:dyDescent="0.2">
      <c r="A116" s="144" t="s">
        <v>86</v>
      </c>
      <c r="B116" s="144" t="s">
        <v>87</v>
      </c>
      <c r="C116" s="144" t="s">
        <v>88</v>
      </c>
      <c r="D116" s="144" t="s">
        <v>89</v>
      </c>
      <c r="E116" s="144" t="s">
        <v>90</v>
      </c>
      <c r="F116" s="144" t="s">
        <v>91</v>
      </c>
      <c r="G116" s="144" t="s">
        <v>89</v>
      </c>
    </row>
    <row r="117" spans="1:9" ht="14.25" customHeight="1" x14ac:dyDescent="0.2">
      <c r="A117" s="15" t="s">
        <v>48</v>
      </c>
      <c r="B117" s="6">
        <f>SUM(B58:B60)</f>
        <v>641250</v>
      </c>
      <c r="C117" s="6">
        <f>SUM(B61:B63)</f>
        <v>654250</v>
      </c>
      <c r="D117" s="6">
        <f>SUM(B64:B66)</f>
        <v>758160</v>
      </c>
      <c r="E117" s="6">
        <f t="shared" ref="E117:E121" si="20">SUM(B21:G21)</f>
        <v>641250</v>
      </c>
      <c r="F117" s="6">
        <f t="shared" ref="F117:F121" si="21">SUM(B26:G26)</f>
        <v>654250</v>
      </c>
      <c r="G117" s="6">
        <f t="shared" ref="G117:G121" si="22">SUM(B31:G31)</f>
        <v>758160</v>
      </c>
    </row>
    <row r="118" spans="1:9" ht="14.25" customHeight="1" x14ac:dyDescent="0.2">
      <c r="A118" s="15" t="s">
        <v>49</v>
      </c>
      <c r="B118" s="6">
        <f>SUM(C58:C60)</f>
        <v>0</v>
      </c>
      <c r="C118" s="6">
        <f>SUM(C61:C63)</f>
        <v>0</v>
      </c>
      <c r="D118" s="6">
        <f>SUM(C64:C66)</f>
        <v>0</v>
      </c>
      <c r="E118" s="6">
        <f t="shared" si="20"/>
        <v>0</v>
      </c>
      <c r="F118" s="6">
        <f t="shared" si="21"/>
        <v>0</v>
      </c>
      <c r="G118" s="6">
        <f t="shared" si="22"/>
        <v>0</v>
      </c>
    </row>
    <row r="119" spans="1:9" ht="14.25" customHeight="1" x14ac:dyDescent="0.2">
      <c r="A119" s="15" t="s">
        <v>50</v>
      </c>
      <c r="B119" s="6">
        <f>SUM(D58:D60)</f>
        <v>0</v>
      </c>
      <c r="C119" s="6">
        <f>SUM(D61:D63)</f>
        <v>500000</v>
      </c>
      <c r="D119" s="6">
        <f>SUM(D64:D66)</f>
        <v>1000000</v>
      </c>
      <c r="E119" s="6">
        <f t="shared" si="20"/>
        <v>0</v>
      </c>
      <c r="F119" s="6">
        <f t="shared" si="21"/>
        <v>500000</v>
      </c>
      <c r="G119" s="6">
        <f t="shared" si="22"/>
        <v>1000000</v>
      </c>
    </row>
    <row r="120" spans="1:9" ht="14.25" customHeight="1" x14ac:dyDescent="0.2">
      <c r="A120" s="15" t="s">
        <v>51</v>
      </c>
      <c r="B120" s="6">
        <f>SUM(E58:E60)</f>
        <v>0</v>
      </c>
      <c r="C120" s="6">
        <f>SUM(E61:E63)</f>
        <v>0</v>
      </c>
      <c r="D120" s="6">
        <f>SUM(E64:E66)</f>
        <v>319490</v>
      </c>
      <c r="E120" s="6">
        <f t="shared" si="20"/>
        <v>0</v>
      </c>
      <c r="F120" s="6">
        <f t="shared" si="21"/>
        <v>0</v>
      </c>
      <c r="G120" s="6">
        <f t="shared" si="22"/>
        <v>319490</v>
      </c>
    </row>
    <row r="121" spans="1:9" ht="14.25" customHeight="1" x14ac:dyDescent="0.2">
      <c r="A121" s="15" t="s">
        <v>52</v>
      </c>
      <c r="B121" s="6">
        <f>SUM(F58:F60)</f>
        <v>0</v>
      </c>
      <c r="C121" s="6">
        <f>SUM(F61:F63)</f>
        <v>0</v>
      </c>
      <c r="D121" s="6">
        <f>SUM(F64:F66)</f>
        <v>0</v>
      </c>
      <c r="E121" s="6">
        <f t="shared" si="20"/>
        <v>0</v>
      </c>
      <c r="F121" s="6">
        <f t="shared" si="21"/>
        <v>0</v>
      </c>
      <c r="G121" s="6">
        <f t="shared" si="22"/>
        <v>0</v>
      </c>
    </row>
    <row r="122" spans="1:9" ht="14.25" customHeight="1" x14ac:dyDescent="0.2"/>
    <row r="123" spans="1:9" ht="14.25" customHeight="1" x14ac:dyDescent="0.2"/>
    <row r="124" spans="1:9" ht="14.25" customHeight="1" x14ac:dyDescent="0.2">
      <c r="A124" s="181" t="s">
        <v>250</v>
      </c>
      <c r="B124" s="181"/>
      <c r="C124" s="181"/>
      <c r="D124" s="181"/>
      <c r="E124" s="181"/>
      <c r="F124" s="38"/>
      <c r="G124" s="38"/>
      <c r="H124" s="38"/>
      <c r="I124" s="39"/>
    </row>
    <row r="125" spans="1:9" ht="14.25" customHeight="1" x14ac:dyDescent="0.2">
      <c r="A125" s="109" t="s">
        <v>93</v>
      </c>
      <c r="B125" s="109" t="s">
        <v>4</v>
      </c>
      <c r="C125" s="109" t="s">
        <v>5</v>
      </c>
      <c r="D125" s="109" t="s">
        <v>6</v>
      </c>
      <c r="E125" s="109" t="s">
        <v>94</v>
      </c>
    </row>
    <row r="126" spans="1:9" ht="14.25" customHeight="1" x14ac:dyDescent="0.2">
      <c r="A126" s="4" t="s">
        <v>95</v>
      </c>
      <c r="B126" s="23">
        <f>C7*Parameters!B20+C8*Parameters!E20+C9*Parameters!B21+C10*Parameters!E21+C11*Parameters!B22+C12*Parameters!E22+C13*Parameters!B23+C14*Parameters!E23+C15*Parameters!B24+C16*Parameters!E24</f>
        <v>500000</v>
      </c>
      <c r="C126" s="23">
        <f>D7*Parameters!B20+D8*Parameters!E20+D9*Parameters!B21+D10*Parameters!E21+D11*Parameters!B22+D12*Parameters!E22+D13*Parameters!B23+D14*Parameters!E23+D15*Parameters!B24+D16*Parameters!E24</f>
        <v>720000</v>
      </c>
      <c r="D126" s="23">
        <f>E7*Parameters!B20+E8*Parameters!E20+E9*Parameters!B21+E10*Parameters!E21+E11*Parameters!B22+E12*Parameters!E22+E13*Parameters!B23+E14*Parameters!E23+E15*Parameters!B24+E16*Parameters!E24</f>
        <v>1095000</v>
      </c>
      <c r="E126" s="24">
        <f t="shared" ref="E126:E134" si="23">SUM(B126:D126)</f>
        <v>2315000</v>
      </c>
    </row>
    <row r="127" spans="1:9" ht="14.25" customHeight="1" x14ac:dyDescent="0.2">
      <c r="A127" s="4" t="s">
        <v>96</v>
      </c>
      <c r="B127" s="23">
        <f>(SUM(B21,C21,D21,E21,F21,G21)*Parameters!$B$5)*Parameters!C20+(SUM(B22,C22,D22,E22,F22,G22)*Parameters!$B$5)*Parameters!C21+(SUM(B23,C23,D23,E23,F23,G23)*Parameters!$B$5)*Parameters!C22+(SUM(B24,C24,D24,E24,F24,G24)*Parameters!$B$5)*Parameters!C23+(SUM(B25,C25,D25,E25,F25,G25)*Parameters!$B$5)*Parameters!C24</f>
        <v>513000</v>
      </c>
      <c r="C127" s="23">
        <f>(SUM(B26,C26,D26,E26,F26,G26)*Parameters!$B$5)*Parameters!C20+(SUM(B27,C27,D27,E27,F27,G27)*Parameters!$B$5)*Parameters!C21+(SUM(B28,C28,D28,E28,F28,G28)*Parameters!$B$5)*Parameters!C22+(SUM(B29,C29,D29,E29,F29,G29)*Parameters!$B$5)*Parameters!C23+(SUM(B30,C30,D30,E30,F30,G30)*Parameters!$B$5)*Parameters!C24</f>
        <v>923400</v>
      </c>
      <c r="D127" s="23">
        <f>(SUM(B31,C31,D31,E31,F31,G31)*Parameters!$B$5)*Parameters!C20+(SUM(B32,C32,D32,E32,F32,G32)*Parameters!$B$5)*Parameters!C21+(SUM(B33,C33,D33,E33,F33,G33)*Parameters!$B$5)*Parameters!C22+(SUM(B34,C34,D34,E34,F34,G34)*Parameters!$B$5)*Parameters!C23+(SUM(B35,C35,D35,E35,F35,G35)*Parameters!$B$5)*Parameters!C24</f>
        <v>1662120</v>
      </c>
      <c r="E127" s="24">
        <f t="shared" si="23"/>
        <v>3098520</v>
      </c>
    </row>
    <row r="128" spans="1:9" ht="14.25" customHeight="1" x14ac:dyDescent="0.2">
      <c r="A128" s="4" t="s">
        <v>97</v>
      </c>
      <c r="B128" s="23">
        <f>(C7+C8)*Parameters!$B$9+(SUM(B21,C21,D21,E21,F21,G21)*Parameters!$B$5)*Parameters!$B$10+(C9+C10)*Parameters!$B$9+(SUM(B22,C22,D22,E22,F22,G22)*Parameters!$B$5)*Parameters!$B$10+(C11+C12)*Parameters!$B$9+(SUM(B23,C23,D23,E23,F23,G23)*Parameters!$B$5)*Parameters!$B$10+(C13+C14)*Parameters!$B$9+(SUM(B24,C24,D24,E24,F24,G24)*Parameters!$B$5)*Parameters!$B$10+(C15+C16)*Parameters!$B$9+(SUM(B25,C25,D25,E25,F25,G25)*Parameters!$B$5)*Parameters!$B$10</f>
        <v>898225</v>
      </c>
      <c r="C128" s="23">
        <f>(D7+D8)*Parameters!$B$9+(SUM(B26,C26,D26,E26,F26,G26)*Parameters!$B$5)*Parameters!$B$10+(D9+D10)*Parameters!$B$9+(SUM(B27,C27,D27,E27,F27,G27)*Parameters!$B$5)*Parameters!$B$10+(D11+D12)*Parameters!$B$9+(SUM(B28,C28,D28,E28,F28,G28)*Parameters!$B$5)*Parameters!$B$10+(D13+D14)*Parameters!$B$9+(SUM(B29,C29,D29,E29,F29,G29)*Parameters!$B$5)*Parameters!$B$10+(D15+D16)*Parameters!$B$9+(SUM(B30,C30,D30,E30,F30,G30)*Parameters!$B$5)*Parameters!$B$10</f>
        <v>1711805</v>
      </c>
      <c r="D128" s="23">
        <f>(E7+E8)*Parameters!$B$9+(SUM(B31,C31,D31,E31,F31,G31)*Parameters!$B$5)*Parameters!$B$10+(E9+E10)*Parameters!$B$9+(SUM(B32,C32,D32,E32,F32,G32)*Parameters!$B$5)*Parameters!$B$10+(E11+E12)*Parameters!$B$9+(SUM(B33,C33,D33,E33,F33,G33)*Parameters!$B$5)*Parameters!$B$10+(E13+E14)*Parameters!$B$9+(SUM(B34,C34,D34,E34,F34,G34)*Parameters!$B$5)*Parameters!$B$10+(E15+E16)*Parameters!$B$9+(SUM(B35,C35,D35,E35,F35,G35)*Parameters!$B$5)*Parameters!$B$10</f>
        <v>2796249</v>
      </c>
      <c r="E128" s="24">
        <f t="shared" si="23"/>
        <v>5406279</v>
      </c>
    </row>
    <row r="129" spans="1:9" ht="14.25" customHeight="1" x14ac:dyDescent="0.2">
      <c r="A129" s="4" t="s">
        <v>98</v>
      </c>
      <c r="B129" s="23">
        <f>SUMPRODUCT(B21:G25,Parameters!$B$28:$G$32)</f>
        <v>2381625</v>
      </c>
      <c r="C129" s="23">
        <f>SUMPRODUCT(B26:G30,Parameters!$B$28:$G$32)</f>
        <v>3324300</v>
      </c>
      <c r="D129" s="23">
        <f>SUMPRODUCT(B31:G35,Parameters!$B$28:$G$32)</f>
        <v>5215995</v>
      </c>
      <c r="E129" s="24">
        <f t="shared" si="23"/>
        <v>10921920</v>
      </c>
    </row>
    <row r="130" spans="1:9" ht="14.25" customHeight="1" x14ac:dyDescent="0.2">
      <c r="A130" s="4" t="s">
        <v>99</v>
      </c>
      <c r="B130" s="23">
        <f>SUMPRODUCT(B58:F60,Parameters!B53:F55)</f>
        <v>961875</v>
      </c>
      <c r="C130" s="23">
        <f>SUMPRODUCT(B61:F63,Parameters!B57:F59)</f>
        <v>2231375</v>
      </c>
      <c r="D130" s="23">
        <f>SUMPRODUCT(B64:F66)</f>
        <v>2077650</v>
      </c>
      <c r="E130" s="24">
        <f t="shared" si="23"/>
        <v>5270900</v>
      </c>
    </row>
    <row r="131" spans="1:9" ht="14.25" customHeight="1" x14ac:dyDescent="0.2">
      <c r="A131" s="4" t="s">
        <v>100</v>
      </c>
      <c r="B131" s="23">
        <f>SUM(B58:F60)*Parameters!$B$7*Parameters!$B$5</f>
        <v>25650000</v>
      </c>
      <c r="C131" s="23">
        <f>SUM(F61:Z63)*Parameters!$B$7*Parameters!$B$5</f>
        <v>46170000</v>
      </c>
      <c r="D131" s="23">
        <f>SUM(B64:F66)*Parameters!$B$7*Parameters!$B$5</f>
        <v>83106000</v>
      </c>
      <c r="E131" s="24">
        <f t="shared" si="23"/>
        <v>154926000</v>
      </c>
    </row>
    <row r="132" spans="1:9" ht="14.25" customHeight="1" x14ac:dyDescent="0.2">
      <c r="A132" s="4" t="s">
        <v>101</v>
      </c>
      <c r="B132" s="25">
        <f>Parameters!$B$8*SUM(Q5_Model_international!B39:B48)</f>
        <v>30000</v>
      </c>
      <c r="C132" s="25">
        <f>Parameters!$B$8*SUM(Q5_Model_international!C39:C48)</f>
        <v>0</v>
      </c>
      <c r="D132" s="25">
        <f>Parameters!$B$8*SUM(Q5_Model_international!D39:D48)</f>
        <v>30000</v>
      </c>
      <c r="E132" s="23">
        <f t="shared" si="23"/>
        <v>60000</v>
      </c>
    </row>
    <row r="133" spans="1:9" ht="14.25" customHeight="1" x14ac:dyDescent="0.2">
      <c r="A133" s="4" t="s">
        <v>102</v>
      </c>
      <c r="B133" s="25">
        <f>SUMPRODUCT(Parameters!$B$36:$B$38,Q5_Model_international!B52:B54)</f>
        <v>30000</v>
      </c>
      <c r="C133" s="25">
        <f>SUMPRODUCT(Parameters!$B$36:$B$38,Q5_Model_international!C52:C54)</f>
        <v>50000</v>
      </c>
      <c r="D133" s="25">
        <f>SUMPRODUCT(Parameters!$B$36:$B$38,Q5_Model_international!D52:D54)</f>
        <v>40000</v>
      </c>
      <c r="E133" s="23">
        <f t="shared" si="23"/>
        <v>120000</v>
      </c>
    </row>
    <row r="134" spans="1:9" ht="14.25" customHeight="1" x14ac:dyDescent="0.2">
      <c r="A134" s="4" t="s">
        <v>103</v>
      </c>
      <c r="B134" s="25">
        <f>Parameters!C36*SUM(Q5_Model_international!B58:F58)+SUM(Q5_Model_international!B59:F59)*Parameters!C37+Parameters!C38*SUM(Q5_Model_international!B60:F60)</f>
        <v>128250</v>
      </c>
      <c r="C134" s="25">
        <f>Parameters!C36*SUM(B61:F61)+SUM(Q5_Model_international!B62:F62)*Parameters!C37+Parameters!C38*SUM(Q5_Model_international!B63:F63)</f>
        <v>280850</v>
      </c>
      <c r="D134" s="25">
        <f>Parameters!C36*SUM(Q5_Model_international!B64:F64)+SUM(Q5_Model_international!B65:F65)*Parameters!C37+Parameters!C38*SUM(Q5_Model_international!B66:F66)</f>
        <v>340530</v>
      </c>
      <c r="E134" s="23">
        <f t="shared" si="23"/>
        <v>749630</v>
      </c>
    </row>
    <row r="135" spans="1:9" ht="14.25" customHeight="1" x14ac:dyDescent="0.2">
      <c r="A135" s="110" t="s">
        <v>104</v>
      </c>
      <c r="B135" s="26">
        <f t="shared" ref="B135:E135" si="24">SUM(B126:B134)</f>
        <v>31092975</v>
      </c>
      <c r="C135" s="26">
        <f t="shared" si="24"/>
        <v>55411730</v>
      </c>
      <c r="D135" s="26">
        <f t="shared" si="24"/>
        <v>96363544</v>
      </c>
      <c r="E135" s="27">
        <f t="shared" si="24"/>
        <v>182868249</v>
      </c>
    </row>
    <row r="136" spans="1:9" ht="14.25" customHeight="1" x14ac:dyDescent="0.2"/>
    <row r="137" spans="1:9" ht="14.25" customHeight="1" x14ac:dyDescent="0.2">
      <c r="A137" s="42"/>
      <c r="B137" s="38"/>
      <c r="C137" s="38"/>
      <c r="D137" s="38"/>
      <c r="E137" s="38"/>
      <c r="F137" s="38"/>
      <c r="G137" s="38"/>
      <c r="H137" s="38"/>
      <c r="I137" s="39"/>
    </row>
    <row r="138" spans="1:9" ht="14.25" customHeight="1" x14ac:dyDescent="0.2">
      <c r="A138" s="107" t="s">
        <v>216</v>
      </c>
      <c r="B138" s="41">
        <f>14*Demand!$C$68</f>
        <v>35910000</v>
      </c>
      <c r="C138" s="41">
        <f>14*Demand!$D$68</f>
        <v>64638000</v>
      </c>
      <c r="D138" s="41">
        <f>14*Demand!$E$68</f>
        <v>116348400</v>
      </c>
      <c r="E138" s="41">
        <f>SUM(B138:D138)</f>
        <v>216896400</v>
      </c>
    </row>
    <row r="139" spans="1:9" ht="14.25" customHeight="1" x14ac:dyDescent="0.2">
      <c r="A139" s="108" t="s">
        <v>217</v>
      </c>
      <c r="B139" s="41">
        <f>B138-B135</f>
        <v>4817025</v>
      </c>
      <c r="C139" s="41">
        <f t="shared" ref="C139:D139" si="25">C138-C135</f>
        <v>9226270</v>
      </c>
      <c r="D139" s="41">
        <f t="shared" si="25"/>
        <v>19984856</v>
      </c>
      <c r="E139" s="41">
        <f>E138-E135</f>
        <v>34028151</v>
      </c>
    </row>
    <row r="140" spans="1:9" ht="14.25" customHeight="1" x14ac:dyDescent="0.2">
      <c r="A140" s="37"/>
    </row>
    <row r="141" spans="1:9" ht="14.25" customHeight="1" x14ac:dyDescent="0.2">
      <c r="A141" s="37"/>
    </row>
    <row r="142" spans="1:9" ht="14.25" customHeight="1" x14ac:dyDescent="0.2">
      <c r="A142" s="42"/>
    </row>
    <row r="143" spans="1:9" ht="14.25" customHeight="1" x14ac:dyDescent="0.2">
      <c r="A143" s="37"/>
    </row>
    <row r="144" spans="1:9" ht="14.25" customHeight="1" x14ac:dyDescent="0.2">
      <c r="A144" s="37"/>
    </row>
    <row r="145" spans="1:1" ht="14.25" customHeight="1" x14ac:dyDescent="0.2">
      <c r="A145" s="37"/>
    </row>
    <row r="146" spans="1:1" ht="14.25" customHeight="1" x14ac:dyDescent="0.2">
      <c r="A146" s="37"/>
    </row>
    <row r="147" spans="1:1" ht="14.25" customHeight="1" x14ac:dyDescent="0.2">
      <c r="A147" s="37"/>
    </row>
    <row r="148" spans="1:1" ht="14.25" customHeight="1" x14ac:dyDescent="0.2">
      <c r="A148" s="42"/>
    </row>
    <row r="149" spans="1:1" ht="14.25" customHeight="1" x14ac:dyDescent="0.2">
      <c r="A149" s="37"/>
    </row>
    <row r="150" spans="1:1" ht="14.25" customHeight="1" x14ac:dyDescent="0.2">
      <c r="A150" s="37"/>
    </row>
    <row r="151" spans="1:1" ht="14.25" customHeight="1" x14ac:dyDescent="0.2"/>
    <row r="152" spans="1:1" ht="14.25" customHeight="1" x14ac:dyDescent="0.2"/>
    <row r="153" spans="1:1" ht="14.25" customHeight="1" x14ac:dyDescent="0.2"/>
    <row r="154" spans="1:1" ht="14.25" customHeight="1" x14ac:dyDescent="0.2"/>
    <row r="155" spans="1:1" ht="14.25" customHeight="1" x14ac:dyDescent="0.2"/>
    <row r="156" spans="1:1" ht="14.25" customHeight="1" x14ac:dyDescent="0.2"/>
    <row r="157" spans="1:1" ht="14.25" customHeight="1" x14ac:dyDescent="0.2"/>
    <row r="158" spans="1:1" ht="14.25" customHeight="1" x14ac:dyDescent="0.2"/>
    <row r="159" spans="1:1" ht="14.25" customHeight="1" x14ac:dyDescent="0.2"/>
    <row r="160" spans="1:1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1">
    <mergeCell ref="A124:E124"/>
    <mergeCell ref="A69:I69"/>
    <mergeCell ref="A70:I70"/>
    <mergeCell ref="A79:I79"/>
    <mergeCell ref="A87:I87"/>
    <mergeCell ref="A96:I96"/>
    <mergeCell ref="A1:I1"/>
    <mergeCell ref="A2:I2"/>
    <mergeCell ref="A4:I4"/>
    <mergeCell ref="A5:I5"/>
    <mergeCell ref="A19:I19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5DBC-FBAC-1D44-83DB-8BE65A189B78}">
  <dimension ref="A1:L1018"/>
  <sheetViews>
    <sheetView topLeftCell="A105" zoomScale="61" workbookViewId="0">
      <selection activeCell="H133" sqref="H133"/>
    </sheetView>
  </sheetViews>
  <sheetFormatPr baseColWidth="10" defaultColWidth="14.5" defaultRowHeight="15" customHeight="1" x14ac:dyDescent="0.2"/>
  <cols>
    <col min="1" max="1" width="43.33203125" customWidth="1"/>
    <col min="2" max="2" width="21.33203125" customWidth="1"/>
    <col min="3" max="3" width="20" customWidth="1"/>
    <col min="4" max="4" width="19.1640625" customWidth="1"/>
    <col min="5" max="5" width="20.5" customWidth="1"/>
    <col min="6" max="6" width="13" customWidth="1"/>
    <col min="7" max="7" width="19.5" customWidth="1"/>
    <col min="8" max="8" width="17.83203125" customWidth="1"/>
    <col min="9" max="9" width="13" customWidth="1"/>
    <col min="10" max="10" width="14.6640625" customWidth="1"/>
    <col min="11" max="11" width="15.6640625" customWidth="1"/>
    <col min="12" max="12" width="23.33203125" customWidth="1"/>
    <col min="13" max="26" width="8.6640625" customWidth="1"/>
  </cols>
  <sheetData>
    <row r="1" spans="1:9" ht="27.75" customHeight="1" x14ac:dyDescent="0.2">
      <c r="A1" s="187" t="s">
        <v>252</v>
      </c>
      <c r="B1" s="185"/>
      <c r="C1" s="185"/>
      <c r="D1" s="185"/>
      <c r="E1" s="185"/>
      <c r="F1" s="185"/>
      <c r="G1" s="185"/>
      <c r="H1" s="185"/>
      <c r="I1" s="186"/>
    </row>
    <row r="2" spans="1:9" ht="14.25" customHeight="1" x14ac:dyDescent="0.2">
      <c r="A2" s="188"/>
      <c r="B2" s="183"/>
      <c r="C2" s="183"/>
      <c r="D2" s="183"/>
      <c r="E2" s="183"/>
      <c r="F2" s="183"/>
      <c r="G2" s="183"/>
      <c r="H2" s="183"/>
      <c r="I2" s="183"/>
    </row>
    <row r="3" spans="1:9" ht="14.25" customHeight="1" x14ac:dyDescent="0.2"/>
    <row r="4" spans="1:9" ht="15" customHeight="1" x14ac:dyDescent="0.2">
      <c r="A4" s="184" t="s">
        <v>1</v>
      </c>
      <c r="B4" s="185"/>
      <c r="C4" s="185"/>
      <c r="D4" s="185"/>
      <c r="E4" s="185"/>
      <c r="F4" s="185"/>
      <c r="G4" s="185"/>
      <c r="H4" s="185"/>
      <c r="I4" s="186"/>
    </row>
    <row r="5" spans="1:9" ht="14.25" customHeight="1" x14ac:dyDescent="0.2">
      <c r="A5" s="182" t="s">
        <v>2</v>
      </c>
      <c r="B5" s="183"/>
      <c r="C5" s="183"/>
      <c r="D5" s="183"/>
      <c r="E5" s="183"/>
      <c r="F5" s="183"/>
      <c r="G5" s="183"/>
      <c r="H5" s="183"/>
      <c r="I5" s="183"/>
    </row>
    <row r="6" spans="1:9" ht="14.25" customHeight="1" x14ac:dyDescent="0.2">
      <c r="A6" s="3" t="s">
        <v>3</v>
      </c>
      <c r="B6" s="146">
        <v>2024</v>
      </c>
      <c r="C6" s="3" t="s">
        <v>4</v>
      </c>
      <c r="D6" s="3" t="s">
        <v>5</v>
      </c>
      <c r="E6" s="3" t="s">
        <v>6</v>
      </c>
    </row>
    <row r="7" spans="1:9" ht="14.25" customHeight="1" x14ac:dyDescent="0.2">
      <c r="A7" s="4" t="s">
        <v>7</v>
      </c>
      <c r="B7" s="147">
        <v>0</v>
      </c>
      <c r="C7" s="106">
        <v>0</v>
      </c>
      <c r="D7" s="106">
        <v>0</v>
      </c>
      <c r="E7" s="106">
        <v>0</v>
      </c>
    </row>
    <row r="8" spans="1:9" ht="14.25" customHeight="1" x14ac:dyDescent="0.2">
      <c r="A8" s="4" t="s">
        <v>8</v>
      </c>
      <c r="B8" s="147">
        <v>0</v>
      </c>
      <c r="C8" s="106">
        <v>0</v>
      </c>
      <c r="D8" s="106">
        <v>0</v>
      </c>
      <c r="E8" s="106">
        <v>0</v>
      </c>
    </row>
    <row r="9" spans="1:9" ht="14.25" customHeight="1" x14ac:dyDescent="0.2">
      <c r="A9" s="4" t="s">
        <v>9</v>
      </c>
      <c r="B9" s="147">
        <v>0</v>
      </c>
      <c r="C9" s="106">
        <v>0</v>
      </c>
      <c r="D9" s="106">
        <v>1</v>
      </c>
      <c r="E9" s="106">
        <v>0</v>
      </c>
    </row>
    <row r="10" spans="1:9" ht="14.25" customHeight="1" x14ac:dyDescent="0.2">
      <c r="A10" s="4" t="s">
        <v>10</v>
      </c>
      <c r="B10" s="147">
        <v>0</v>
      </c>
      <c r="C10" s="106">
        <v>0</v>
      </c>
      <c r="D10" s="106">
        <v>0</v>
      </c>
      <c r="E10" s="106">
        <v>1</v>
      </c>
    </row>
    <row r="11" spans="1:9" ht="14.25" customHeight="1" x14ac:dyDescent="0.2">
      <c r="A11" s="4" t="s">
        <v>11</v>
      </c>
      <c r="B11" s="147">
        <v>1</v>
      </c>
      <c r="C11" s="106">
        <v>0</v>
      </c>
      <c r="D11" s="106">
        <v>0</v>
      </c>
      <c r="E11" s="106">
        <v>0</v>
      </c>
    </row>
    <row r="12" spans="1:9" ht="14.25" customHeight="1" x14ac:dyDescent="0.2">
      <c r="A12" s="4" t="s">
        <v>12</v>
      </c>
      <c r="B12" s="147">
        <v>0</v>
      </c>
      <c r="C12" s="106">
        <v>1</v>
      </c>
      <c r="D12" s="106">
        <v>1</v>
      </c>
      <c r="E12" s="106">
        <v>1</v>
      </c>
    </row>
    <row r="13" spans="1:9" ht="14.25" customHeight="1" x14ac:dyDescent="0.2">
      <c r="A13" s="4" t="s">
        <v>13</v>
      </c>
      <c r="B13" s="147">
        <v>0</v>
      </c>
      <c r="C13" s="106">
        <v>0</v>
      </c>
      <c r="D13" s="106">
        <v>0</v>
      </c>
      <c r="E13" s="106">
        <v>1</v>
      </c>
    </row>
    <row r="14" spans="1:9" ht="14.25" customHeight="1" x14ac:dyDescent="0.2">
      <c r="A14" s="4" t="s">
        <v>14</v>
      </c>
      <c r="B14" s="147">
        <v>0</v>
      </c>
      <c r="C14" s="106">
        <v>0</v>
      </c>
      <c r="D14" s="106">
        <v>0</v>
      </c>
      <c r="E14" s="106">
        <v>0</v>
      </c>
    </row>
    <row r="15" spans="1:9" ht="14.25" customHeight="1" x14ac:dyDescent="0.2">
      <c r="A15" s="4" t="s">
        <v>15</v>
      </c>
      <c r="B15" s="147">
        <v>0</v>
      </c>
      <c r="C15" s="106">
        <v>0</v>
      </c>
      <c r="D15" s="106">
        <v>0</v>
      </c>
      <c r="E15" s="106">
        <v>0</v>
      </c>
    </row>
    <row r="16" spans="1:9" ht="14.25" customHeight="1" x14ac:dyDescent="0.2">
      <c r="A16" s="4" t="s">
        <v>16</v>
      </c>
      <c r="B16" s="147">
        <v>0</v>
      </c>
      <c r="C16" s="106">
        <v>0</v>
      </c>
      <c r="D16" s="106">
        <v>0</v>
      </c>
      <c r="E16" s="106">
        <v>0</v>
      </c>
    </row>
    <row r="17" spans="1:9" ht="14.25" customHeight="1" x14ac:dyDescent="0.2">
      <c r="A17" s="1"/>
    </row>
    <row r="18" spans="1:9" ht="14.25" customHeight="1" x14ac:dyDescent="0.2"/>
    <row r="19" spans="1:9" ht="14.25" customHeight="1" x14ac:dyDescent="0.2">
      <c r="A19" s="182" t="s">
        <v>17</v>
      </c>
      <c r="B19" s="183"/>
      <c r="C19" s="183"/>
      <c r="D19" s="183"/>
      <c r="E19" s="183"/>
      <c r="F19" s="183"/>
      <c r="G19" s="183"/>
      <c r="H19" s="183"/>
      <c r="I19" s="183"/>
    </row>
    <row r="20" spans="1:9" ht="14.25" customHeight="1" x14ac:dyDescent="0.2">
      <c r="A20" s="3" t="s">
        <v>105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25</v>
      </c>
      <c r="I20" s="3" t="s">
        <v>26</v>
      </c>
    </row>
    <row r="21" spans="1:9" ht="14.25" customHeight="1" x14ac:dyDescent="0.2">
      <c r="A21" s="4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6">
        <f t="shared" ref="H21:H35" si="0">SUM(B21:G21)</f>
        <v>0</v>
      </c>
      <c r="I21" s="31" t="s">
        <v>4</v>
      </c>
    </row>
    <row r="22" spans="1:9" ht="14.25" customHeight="1" x14ac:dyDescent="0.2">
      <c r="A22" s="4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6">
        <f t="shared" si="0"/>
        <v>0</v>
      </c>
      <c r="I22" s="31" t="s">
        <v>4</v>
      </c>
    </row>
    <row r="23" spans="1:9" ht="14.25" customHeight="1" x14ac:dyDescent="0.2">
      <c r="A23" s="4" t="s">
        <v>29</v>
      </c>
      <c r="B23" s="5">
        <v>144000</v>
      </c>
      <c r="C23" s="5">
        <v>90000</v>
      </c>
      <c r="D23" s="5">
        <v>72000</v>
      </c>
      <c r="E23" s="5">
        <v>99000</v>
      </c>
      <c r="F23" s="5">
        <v>157500</v>
      </c>
      <c r="G23" s="5">
        <v>78750</v>
      </c>
      <c r="H23" s="6">
        <f t="shared" si="0"/>
        <v>641250</v>
      </c>
      <c r="I23" s="31" t="s">
        <v>4</v>
      </c>
    </row>
    <row r="24" spans="1:9" ht="14.25" customHeight="1" x14ac:dyDescent="0.2">
      <c r="A24" s="4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>
        <f t="shared" si="0"/>
        <v>0</v>
      </c>
      <c r="I24" s="31" t="s">
        <v>4</v>
      </c>
    </row>
    <row r="25" spans="1:9" ht="14.25" customHeight="1" thickBot="1" x14ac:dyDescent="0.25">
      <c r="A25" s="33" t="s">
        <v>31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5">
        <f t="shared" si="0"/>
        <v>0</v>
      </c>
      <c r="I25" s="36" t="s">
        <v>4</v>
      </c>
    </row>
    <row r="26" spans="1:9" ht="14.25" customHeight="1" x14ac:dyDescent="0.2">
      <c r="A26" s="29" t="s">
        <v>32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30">
        <f t="shared" si="0"/>
        <v>0</v>
      </c>
      <c r="I26" s="31" t="s">
        <v>5</v>
      </c>
    </row>
    <row r="27" spans="1:9" ht="14.25" customHeight="1" x14ac:dyDescent="0.2">
      <c r="A27" s="4" t="s">
        <v>33</v>
      </c>
      <c r="B27" s="5">
        <v>259200</v>
      </c>
      <c r="C27" s="5">
        <v>162000</v>
      </c>
      <c r="D27" s="5">
        <v>0</v>
      </c>
      <c r="E27" s="5">
        <v>0</v>
      </c>
      <c r="F27" s="5">
        <v>0</v>
      </c>
      <c r="G27" s="5">
        <v>0</v>
      </c>
      <c r="H27" s="6">
        <f t="shared" si="0"/>
        <v>421200</v>
      </c>
      <c r="I27" s="31" t="s">
        <v>5</v>
      </c>
    </row>
    <row r="28" spans="1:9" ht="14.25" customHeight="1" x14ac:dyDescent="0.2">
      <c r="A28" s="4" t="s">
        <v>34</v>
      </c>
      <c r="B28" s="5">
        <v>0</v>
      </c>
      <c r="C28" s="5">
        <v>0</v>
      </c>
      <c r="D28" s="5">
        <v>129600</v>
      </c>
      <c r="E28" s="5">
        <v>178200</v>
      </c>
      <c r="F28" s="5">
        <v>283500</v>
      </c>
      <c r="G28" s="5">
        <v>141750</v>
      </c>
      <c r="H28" s="6">
        <f t="shared" si="0"/>
        <v>733050</v>
      </c>
      <c r="I28" s="31" t="s">
        <v>5</v>
      </c>
    </row>
    <row r="29" spans="1:9" ht="14.25" customHeight="1" x14ac:dyDescent="0.2">
      <c r="A29" s="4" t="s">
        <v>35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>
        <f t="shared" si="0"/>
        <v>0</v>
      </c>
      <c r="I29" s="31" t="s">
        <v>5</v>
      </c>
    </row>
    <row r="30" spans="1:9" ht="14.25" customHeight="1" thickBot="1" x14ac:dyDescent="0.25">
      <c r="A30" s="33" t="s">
        <v>36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5">
        <f t="shared" si="0"/>
        <v>0</v>
      </c>
      <c r="I30" s="36" t="s">
        <v>5</v>
      </c>
    </row>
    <row r="31" spans="1:9" ht="14.25" customHeight="1" x14ac:dyDescent="0.2">
      <c r="A31" s="29" t="s">
        <v>37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30">
        <f t="shared" si="0"/>
        <v>0</v>
      </c>
      <c r="I31" s="31" t="s">
        <v>6</v>
      </c>
    </row>
    <row r="32" spans="1:9" ht="14.25" customHeight="1" x14ac:dyDescent="0.2">
      <c r="A32" s="4" t="s">
        <v>38</v>
      </c>
      <c r="B32" s="5">
        <v>466560</v>
      </c>
      <c r="C32" s="5">
        <v>291600</v>
      </c>
      <c r="D32" s="5">
        <v>64340</v>
      </c>
      <c r="E32" s="5">
        <v>0</v>
      </c>
      <c r="F32" s="5">
        <v>0</v>
      </c>
      <c r="G32" s="5">
        <v>0</v>
      </c>
      <c r="H32" s="6">
        <f t="shared" si="0"/>
        <v>822500</v>
      </c>
      <c r="I32" s="31" t="s">
        <v>6</v>
      </c>
    </row>
    <row r="33" spans="1:9" ht="14.25" customHeight="1" x14ac:dyDescent="0.2">
      <c r="A33" s="4" t="s">
        <v>39</v>
      </c>
      <c r="B33" s="5">
        <v>0</v>
      </c>
      <c r="C33" s="5">
        <v>0</v>
      </c>
      <c r="D33" s="5">
        <v>168940</v>
      </c>
      <c r="E33" s="5">
        <v>320760</v>
      </c>
      <c r="F33" s="5">
        <v>510300</v>
      </c>
      <c r="G33" s="5">
        <v>0</v>
      </c>
      <c r="H33" s="6">
        <f t="shared" si="0"/>
        <v>1000000</v>
      </c>
      <c r="I33" s="31" t="s">
        <v>6</v>
      </c>
    </row>
    <row r="34" spans="1:9" ht="14.25" customHeight="1" x14ac:dyDescent="0.2">
      <c r="A34" s="4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255150</v>
      </c>
      <c r="H34" s="6">
        <f t="shared" si="0"/>
        <v>255150</v>
      </c>
      <c r="I34" s="31" t="s">
        <v>6</v>
      </c>
    </row>
    <row r="35" spans="1:9" ht="14.25" customHeight="1" thickBot="1" x14ac:dyDescent="0.25">
      <c r="A35" s="33" t="s">
        <v>41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5">
        <f t="shared" si="0"/>
        <v>0</v>
      </c>
      <c r="I35" s="36" t="s">
        <v>6</v>
      </c>
    </row>
    <row r="36" spans="1:9" ht="14.25" customHeight="1" x14ac:dyDescent="0.2">
      <c r="A36" s="32"/>
      <c r="B36" s="32"/>
      <c r="C36" s="32"/>
      <c r="D36" s="32"/>
      <c r="E36" s="32"/>
      <c r="F36" s="32"/>
      <c r="G36" s="32"/>
      <c r="H36" s="32"/>
      <c r="I36" s="32"/>
    </row>
    <row r="37" spans="1:9" ht="14.25" customHeight="1" x14ac:dyDescent="0.2"/>
    <row r="38" spans="1:9" ht="14.25" customHeight="1" x14ac:dyDescent="0.2">
      <c r="A38" s="3" t="s">
        <v>109</v>
      </c>
      <c r="B38" s="3" t="s">
        <v>4</v>
      </c>
      <c r="C38" s="3" t="s">
        <v>5</v>
      </c>
      <c r="D38" s="3" t="s">
        <v>6</v>
      </c>
    </row>
    <row r="39" spans="1:9" ht="14.25" customHeight="1" x14ac:dyDescent="0.2">
      <c r="A39" s="4" t="s">
        <v>7</v>
      </c>
      <c r="B39" s="106">
        <v>0</v>
      </c>
      <c r="C39" s="106">
        <v>0</v>
      </c>
      <c r="D39" s="106">
        <v>0</v>
      </c>
    </row>
    <row r="40" spans="1:9" ht="14.25" customHeight="1" x14ac:dyDescent="0.2">
      <c r="A40" s="4" t="s">
        <v>8</v>
      </c>
      <c r="B40" s="106">
        <v>0</v>
      </c>
      <c r="C40" s="106">
        <v>0</v>
      </c>
      <c r="D40" s="106">
        <v>0</v>
      </c>
    </row>
    <row r="41" spans="1:9" ht="14.25" customHeight="1" x14ac:dyDescent="0.2">
      <c r="A41" s="4" t="s">
        <v>9</v>
      </c>
      <c r="B41" s="106">
        <v>0</v>
      </c>
      <c r="C41" s="106">
        <v>0</v>
      </c>
      <c r="D41" s="106">
        <v>1</v>
      </c>
    </row>
    <row r="42" spans="1:9" ht="14.25" customHeight="1" x14ac:dyDescent="0.2">
      <c r="A42" s="4" t="s">
        <v>10</v>
      </c>
      <c r="B42" s="106">
        <v>0</v>
      </c>
      <c r="C42" s="106">
        <v>0</v>
      </c>
      <c r="D42" s="106">
        <v>0</v>
      </c>
    </row>
    <row r="43" spans="1:9" ht="14.25" customHeight="1" x14ac:dyDescent="0.2">
      <c r="A43" s="4" t="s">
        <v>11</v>
      </c>
      <c r="B43" s="106">
        <v>1</v>
      </c>
      <c r="C43" s="106">
        <v>0</v>
      </c>
      <c r="D43" s="106">
        <v>0</v>
      </c>
    </row>
    <row r="44" spans="1:9" ht="14.25" customHeight="1" x14ac:dyDescent="0.2">
      <c r="A44" s="4" t="s">
        <v>12</v>
      </c>
      <c r="B44" s="106">
        <v>0</v>
      </c>
      <c r="C44" s="106">
        <v>0</v>
      </c>
      <c r="D44" s="106">
        <v>0</v>
      </c>
    </row>
    <row r="45" spans="1:9" ht="14.25" customHeight="1" x14ac:dyDescent="0.2">
      <c r="A45" s="4" t="s">
        <v>13</v>
      </c>
      <c r="B45" s="106">
        <v>0</v>
      </c>
      <c r="C45" s="106">
        <v>0</v>
      </c>
      <c r="D45" s="106">
        <v>0</v>
      </c>
    </row>
    <row r="46" spans="1:9" ht="14.25" customHeight="1" x14ac:dyDescent="0.2">
      <c r="A46" s="4" t="s">
        <v>14</v>
      </c>
      <c r="B46" s="106">
        <v>0</v>
      </c>
      <c r="C46" s="106">
        <v>0</v>
      </c>
      <c r="D46" s="106">
        <v>0</v>
      </c>
    </row>
    <row r="47" spans="1:9" ht="14.25" customHeight="1" x14ac:dyDescent="0.2">
      <c r="A47" s="4" t="s">
        <v>15</v>
      </c>
      <c r="B47" s="106">
        <v>0</v>
      </c>
      <c r="C47" s="106">
        <v>0</v>
      </c>
      <c r="D47" s="106">
        <v>0</v>
      </c>
    </row>
    <row r="48" spans="1:9" ht="14.25" customHeight="1" x14ac:dyDescent="0.2">
      <c r="A48" s="4" t="s">
        <v>16</v>
      </c>
      <c r="B48" s="106">
        <v>0</v>
      </c>
      <c r="C48" s="106">
        <v>0</v>
      </c>
      <c r="D48" s="106">
        <v>0</v>
      </c>
    </row>
    <row r="49" spans="1:10" ht="14.25" customHeight="1" x14ac:dyDescent="0.2"/>
    <row r="50" spans="1:10" ht="14.25" customHeight="1" x14ac:dyDescent="0.2">
      <c r="A50" s="3" t="s">
        <v>47</v>
      </c>
      <c r="B50" s="15" t="s">
        <v>48</v>
      </c>
      <c r="C50" s="15" t="s">
        <v>49</v>
      </c>
      <c r="D50" s="15" t="s">
        <v>50</v>
      </c>
      <c r="E50" s="15" t="s">
        <v>51</v>
      </c>
      <c r="F50" s="15" t="s">
        <v>52</v>
      </c>
      <c r="G50" s="3" t="s">
        <v>25</v>
      </c>
      <c r="H50" s="3" t="s">
        <v>26</v>
      </c>
    </row>
    <row r="51" spans="1:10" ht="14.25" customHeight="1" thickBot="1" x14ac:dyDescent="0.25">
      <c r="A51" s="16" t="s">
        <v>46</v>
      </c>
      <c r="B51" s="9">
        <v>0</v>
      </c>
      <c r="C51" s="9">
        <v>0</v>
      </c>
      <c r="D51" s="9">
        <v>641250</v>
      </c>
      <c r="E51" s="9">
        <v>0</v>
      </c>
      <c r="F51" s="9">
        <v>0</v>
      </c>
      <c r="G51" s="10">
        <f t="shared" ref="G51:G53" si="1">SUM(B51:F51)</f>
        <v>641250</v>
      </c>
      <c r="H51" s="11" t="s">
        <v>4</v>
      </c>
    </row>
    <row r="52" spans="1:10" ht="14.25" customHeight="1" thickBot="1" x14ac:dyDescent="0.25">
      <c r="A52" s="16" t="s">
        <v>46</v>
      </c>
      <c r="B52" s="9">
        <v>0</v>
      </c>
      <c r="C52" s="9">
        <v>421200</v>
      </c>
      <c r="D52" s="9">
        <v>733050</v>
      </c>
      <c r="E52" s="9">
        <v>0</v>
      </c>
      <c r="F52" s="9">
        <v>0</v>
      </c>
      <c r="G52" s="10">
        <f t="shared" si="1"/>
        <v>1154250</v>
      </c>
      <c r="H52" s="11" t="s">
        <v>5</v>
      </c>
    </row>
    <row r="53" spans="1:10" ht="14.25" customHeight="1" thickBot="1" x14ac:dyDescent="0.25">
      <c r="A53" s="16" t="s">
        <v>46</v>
      </c>
      <c r="B53" s="9">
        <v>0</v>
      </c>
      <c r="C53" s="9">
        <v>822500</v>
      </c>
      <c r="D53" s="9">
        <v>1000000</v>
      </c>
      <c r="E53" s="9">
        <v>255150</v>
      </c>
      <c r="F53" s="9">
        <v>0</v>
      </c>
      <c r="G53" s="10">
        <f t="shared" si="1"/>
        <v>2077650</v>
      </c>
      <c r="H53" s="11" t="s">
        <v>6</v>
      </c>
    </row>
    <row r="54" spans="1:10" ht="14.25" customHeight="1" x14ac:dyDescent="0.2"/>
    <row r="55" spans="1:10" ht="14.25" customHeight="1" x14ac:dyDescent="0.2"/>
    <row r="56" spans="1:10" ht="14.25" customHeight="1" x14ac:dyDescent="0.2"/>
    <row r="57" spans="1:10" ht="14.25" customHeight="1" x14ac:dyDescent="0.2"/>
    <row r="58" spans="1:10" ht="15" customHeight="1" x14ac:dyDescent="0.2">
      <c r="A58" s="184" t="s">
        <v>249</v>
      </c>
      <c r="B58" s="185"/>
      <c r="C58" s="185"/>
      <c r="D58" s="185"/>
      <c r="E58" s="185"/>
      <c r="F58" s="185"/>
      <c r="G58" s="185"/>
      <c r="H58" s="185"/>
      <c r="I58" s="186"/>
    </row>
    <row r="59" spans="1:10" ht="14.25" customHeight="1" x14ac:dyDescent="0.2">
      <c r="A59" s="182" t="s">
        <v>54</v>
      </c>
      <c r="B59" s="183"/>
      <c r="C59" s="183"/>
      <c r="D59" s="183"/>
      <c r="E59" s="183"/>
      <c r="F59" s="183"/>
      <c r="G59" s="183"/>
      <c r="H59" s="183"/>
      <c r="I59" s="183"/>
    </row>
    <row r="60" spans="1:10" ht="14.25" customHeight="1" x14ac:dyDescent="0.2">
      <c r="A60" s="18" t="s">
        <v>55</v>
      </c>
      <c r="B60" s="18" t="s">
        <v>56</v>
      </c>
      <c r="C60" s="18" t="s">
        <v>57</v>
      </c>
      <c r="D60" s="18" t="s">
        <v>58</v>
      </c>
      <c r="E60" s="18" t="s">
        <v>59</v>
      </c>
      <c r="F60" s="18" t="s">
        <v>60</v>
      </c>
      <c r="G60" s="18" t="s">
        <v>61</v>
      </c>
    </row>
    <row r="61" spans="1:10" ht="14.25" customHeight="1" x14ac:dyDescent="0.2">
      <c r="A61" s="15" t="s">
        <v>19</v>
      </c>
      <c r="B61" s="6">
        <f>SUM(B21,B22,B23,B24,B25)</f>
        <v>144000</v>
      </c>
      <c r="C61" s="6">
        <f>SUM(B26,B27,B28,B29,B30)</f>
        <v>259200</v>
      </c>
      <c r="D61" s="6">
        <f>SUM(B31,B32,B33,B34,B35)</f>
        <v>466560</v>
      </c>
      <c r="E61" s="6">
        <f>Demand!C62/Parameters!$B$5</f>
        <v>144000</v>
      </c>
      <c r="F61" s="6">
        <f>Demand!D62/Parameters!$B$5</f>
        <v>259200</v>
      </c>
      <c r="G61" s="6">
        <f>Demand!E62/Parameters!$B$5</f>
        <v>466560</v>
      </c>
    </row>
    <row r="62" spans="1:10" ht="14.25" customHeight="1" x14ac:dyDescent="0.2">
      <c r="A62" s="15" t="s">
        <v>62</v>
      </c>
      <c r="B62" s="6">
        <f>SUM(C21,C22,C23,C24,C25)</f>
        <v>90000</v>
      </c>
      <c r="C62" s="6">
        <f>SUM(C26,C27,C28,C29,C30)</f>
        <v>162000</v>
      </c>
      <c r="D62" s="6">
        <f>SUM(C31,C32,C33,C34,C35)</f>
        <v>291600</v>
      </c>
      <c r="E62" s="6">
        <f>Demand!C63/Parameters!$B$5</f>
        <v>90000</v>
      </c>
      <c r="F62" s="6">
        <f>Demand!D63/Parameters!$B$5</f>
        <v>162000</v>
      </c>
      <c r="G62" s="6">
        <f>Demand!E63/Parameters!$B$5</f>
        <v>291600</v>
      </c>
      <c r="I62" s="19"/>
      <c r="J62" s="19"/>
    </row>
    <row r="63" spans="1:10" ht="14.25" customHeight="1" x14ac:dyDescent="0.2">
      <c r="A63" s="15" t="s">
        <v>63</v>
      </c>
      <c r="B63" s="6">
        <f>SUM(D21,D22,D23,D24,D25)</f>
        <v>72000</v>
      </c>
      <c r="C63" s="6">
        <f>SUM(D26,D27,D28,D29,D30)</f>
        <v>129600</v>
      </c>
      <c r="D63" s="6">
        <f>SUM(D31,D32,D33,D34,D35)</f>
        <v>233280</v>
      </c>
      <c r="E63" s="6">
        <f>Demand!C64/Parameters!$B$5</f>
        <v>72000</v>
      </c>
      <c r="F63" s="6">
        <f>Demand!D64/Parameters!$B$5</f>
        <v>129600</v>
      </c>
      <c r="G63" s="6">
        <f>Demand!E64/Parameters!$B$5</f>
        <v>233280</v>
      </c>
    </row>
    <row r="64" spans="1:10" ht="14.25" customHeight="1" x14ac:dyDescent="0.2">
      <c r="A64" s="15" t="s">
        <v>64</v>
      </c>
      <c r="B64" s="6">
        <f>SUM(E21,E22,E23,E24,E25)</f>
        <v>99000</v>
      </c>
      <c r="C64" s="6">
        <f>SUM(E26,E27,E28,E29,E30)</f>
        <v>178200</v>
      </c>
      <c r="D64" s="6">
        <f>SUM(E31,E32,E33,E34,E35)</f>
        <v>320760</v>
      </c>
      <c r="E64" s="6">
        <f>Demand!C65/Parameters!$B$5</f>
        <v>99000</v>
      </c>
      <c r="F64" s="6">
        <f>Demand!D65/Parameters!$B$5</f>
        <v>178200</v>
      </c>
      <c r="G64" s="6">
        <f>Demand!E65/Parameters!$B$5</f>
        <v>320760</v>
      </c>
    </row>
    <row r="65" spans="1:9" ht="14.25" customHeight="1" x14ac:dyDescent="0.2">
      <c r="A65" s="15" t="s">
        <v>65</v>
      </c>
      <c r="B65" s="6">
        <f>SUM(F21,F22,F23,F24,F25)</f>
        <v>157500</v>
      </c>
      <c r="C65" s="6">
        <f>SUM(F26,F27,F28,F29,F30)</f>
        <v>283500</v>
      </c>
      <c r="D65" s="6">
        <f>SUM(F31,F32,F33,F34,F35)</f>
        <v>510300</v>
      </c>
      <c r="E65" s="6">
        <f>Demand!C66/Parameters!$B$5</f>
        <v>157500</v>
      </c>
      <c r="F65" s="6">
        <f>Demand!D66/Parameters!$B$5</f>
        <v>283500</v>
      </c>
      <c r="G65" s="6">
        <f>Demand!E66/Parameters!$B$5</f>
        <v>510300</v>
      </c>
    </row>
    <row r="66" spans="1:9" ht="14.25" customHeight="1" x14ac:dyDescent="0.2">
      <c r="A66" s="15" t="s">
        <v>66</v>
      </c>
      <c r="B66" s="6">
        <f>SUM(G21,G22,G23,G24,G25)</f>
        <v>78750</v>
      </c>
      <c r="C66" s="6">
        <f>SUM(G26,G27,G28,G29,G30)</f>
        <v>141750</v>
      </c>
      <c r="D66" s="6">
        <f>SUM(G31,G32,G33,G34,G35)</f>
        <v>255150</v>
      </c>
      <c r="E66" s="6">
        <f>Demand!C67/Parameters!$B$5</f>
        <v>78750</v>
      </c>
      <c r="F66" s="6">
        <f>Demand!D67/Parameters!$B$5</f>
        <v>141750</v>
      </c>
      <c r="G66" s="6">
        <f>Demand!E67/Parameters!$B$5</f>
        <v>255150</v>
      </c>
    </row>
    <row r="67" spans="1:9" ht="14.25" customHeight="1" x14ac:dyDescent="0.2"/>
    <row r="68" spans="1:9" ht="14.25" customHeight="1" x14ac:dyDescent="0.2">
      <c r="A68" s="182" t="s">
        <v>67</v>
      </c>
      <c r="B68" s="183"/>
      <c r="C68" s="183"/>
      <c r="D68" s="183"/>
      <c r="E68" s="183"/>
      <c r="F68" s="183"/>
      <c r="G68" s="183"/>
      <c r="H68" s="183"/>
      <c r="I68" s="183"/>
    </row>
    <row r="69" spans="1:9" ht="14.25" customHeight="1" x14ac:dyDescent="0.2">
      <c r="A69" s="18" t="s">
        <v>68</v>
      </c>
      <c r="B69" s="18" t="s">
        <v>69</v>
      </c>
      <c r="C69" s="18" t="s">
        <v>70</v>
      </c>
      <c r="D69" s="18" t="s">
        <v>71</v>
      </c>
      <c r="E69" s="18" t="s">
        <v>72</v>
      </c>
      <c r="F69" s="18" t="s">
        <v>73</v>
      </c>
      <c r="G69" s="18" t="s">
        <v>74</v>
      </c>
    </row>
    <row r="70" spans="1:9" ht="14.25" customHeight="1" x14ac:dyDescent="0.2">
      <c r="A70" s="15" t="s">
        <v>48</v>
      </c>
      <c r="B70" s="6">
        <f>SUM(B21,C21,D21,E21,F21,G21)*Parameters!$B$5</f>
        <v>0</v>
      </c>
      <c r="C70" s="6">
        <f>SUM(B26,C26,D26,E26,F26,G26)*Parameters!$B$5</f>
        <v>0</v>
      </c>
      <c r="D70" s="6">
        <f>SUM(B31,C31,D31,E31,F31,G31)*Parameters!$B$5</f>
        <v>0</v>
      </c>
      <c r="E70" s="6">
        <f>C7*Parameters!$D20+C8*Parameters!$G20</f>
        <v>0</v>
      </c>
      <c r="F70" s="6">
        <f>D7*Parameters!$D20+D8*Parameters!$G20</f>
        <v>0</v>
      </c>
      <c r="G70" s="6">
        <f>E7*Parameters!$D20+E8*Parameters!$G20</f>
        <v>0</v>
      </c>
    </row>
    <row r="71" spans="1:9" ht="14.25" customHeight="1" x14ac:dyDescent="0.2">
      <c r="A71" s="15" t="s">
        <v>49</v>
      </c>
      <c r="B71" s="6">
        <f>SUM(B22,C22,D22,E22,F22,G22)*Parameters!$B$5</f>
        <v>0</v>
      </c>
      <c r="C71" s="6">
        <f>SUM(B27,C27,D27,E27,F27,G27)*Parameters!$B$5</f>
        <v>1684800</v>
      </c>
      <c r="D71" s="6">
        <f>SUM(B32,C32,D32,E32,F32,G32)*Parameters!$B$5</f>
        <v>3290000</v>
      </c>
      <c r="E71" s="6">
        <f>C9*Parameters!$D21+C10*Parameters!$G21</f>
        <v>0</v>
      </c>
      <c r="F71" s="6">
        <f>D9*Parameters!$D21+D10*Parameters!$G21</f>
        <v>2000000</v>
      </c>
      <c r="G71" s="6">
        <f>E9*Parameters!$D21+E10*Parameters!$G21</f>
        <v>4000000</v>
      </c>
    </row>
    <row r="72" spans="1:9" ht="14.25" customHeight="1" x14ac:dyDescent="0.2">
      <c r="A72" s="15" t="s">
        <v>50</v>
      </c>
      <c r="B72" s="6">
        <f>SUM(B23,C23,D23,E23,F23,G23)*Parameters!$B$5</f>
        <v>2565000</v>
      </c>
      <c r="C72" s="6">
        <f>SUM(B28,C28,D28,E28,F28,G28)*Parameters!$B$5</f>
        <v>2932200</v>
      </c>
      <c r="D72" s="6">
        <f>SUM(B33,C33,D33,E33,F33,G33)*Parameters!$B$5</f>
        <v>4000000</v>
      </c>
      <c r="E72" s="6">
        <f>C11*Parameters!$D22+C12*Parameters!$G22</f>
        <v>4000000</v>
      </c>
      <c r="F72" s="6">
        <f>D11*Parameters!$D22+D12*Parameters!$G22</f>
        <v>4000000</v>
      </c>
      <c r="G72" s="6">
        <f>E11*Parameters!$D22+E12*Parameters!$G22</f>
        <v>4000000</v>
      </c>
    </row>
    <row r="73" spans="1:9" ht="14.25" customHeight="1" x14ac:dyDescent="0.2">
      <c r="A73" s="15" t="s">
        <v>51</v>
      </c>
      <c r="B73" s="6">
        <f>SUM(B24,C24,D24,E24,F24,G24)*Parameters!$B$5</f>
        <v>0</v>
      </c>
      <c r="C73" s="6">
        <f>SUM(B29,C29,D29,E29,F29,G29)*Parameters!$B$5</f>
        <v>0</v>
      </c>
      <c r="D73" s="6">
        <f>SUM(B34,C34,D34,E34,F34,G34)*Parameters!$B$5</f>
        <v>1020600</v>
      </c>
      <c r="E73" s="6">
        <f>C13*Parameters!$D23+C14*Parameters!$G23</f>
        <v>0</v>
      </c>
      <c r="F73" s="6">
        <f>D13*Parameters!$D23+D14*Parameters!$G23</f>
        <v>0</v>
      </c>
      <c r="G73" s="6">
        <f>E13*Parameters!$D23+E14*Parameters!$G23</f>
        <v>2000000</v>
      </c>
    </row>
    <row r="74" spans="1:9" ht="14.25" customHeight="1" x14ac:dyDescent="0.2">
      <c r="A74" s="15" t="s">
        <v>52</v>
      </c>
      <c r="B74" s="6">
        <f>SUM(B25,C25,D25,E25,F25,G25)*Parameters!$B$5</f>
        <v>0</v>
      </c>
      <c r="C74" s="6">
        <f>SUM(B30,C30,D30,E30,F30,G30)*Parameters!$B$5</f>
        <v>0</v>
      </c>
      <c r="D74" s="6">
        <f>SUM(B35,C35,D35,E35,F35,G35)*Parameters!$B$5</f>
        <v>0</v>
      </c>
      <c r="E74" s="6">
        <f>C15*Parameters!$D24+C16*Parameters!$G24</f>
        <v>0</v>
      </c>
      <c r="F74" s="6">
        <f>D15*Parameters!$D24+D16*Parameters!$G24</f>
        <v>0</v>
      </c>
      <c r="G74" s="6">
        <f>E15*Parameters!$D24+E16*Parameters!$G24</f>
        <v>0</v>
      </c>
    </row>
    <row r="75" spans="1:9" ht="14.25" customHeight="1" x14ac:dyDescent="0.2"/>
    <row r="76" spans="1:9" ht="14.25" customHeight="1" x14ac:dyDescent="0.2">
      <c r="A76" s="182" t="s">
        <v>75</v>
      </c>
      <c r="B76" s="183"/>
      <c r="C76" s="183"/>
      <c r="D76" s="183"/>
      <c r="E76" s="183"/>
      <c r="F76" s="183"/>
      <c r="G76" s="183"/>
      <c r="H76" s="183"/>
      <c r="I76" s="183"/>
    </row>
    <row r="77" spans="1:9" ht="14.25" customHeight="1" x14ac:dyDescent="0.2">
      <c r="A77" s="18" t="s">
        <v>68</v>
      </c>
      <c r="B77" s="18" t="s">
        <v>76</v>
      </c>
      <c r="C77" s="18" t="s">
        <v>77</v>
      </c>
      <c r="D77" s="18" t="s">
        <v>78</v>
      </c>
    </row>
    <row r="78" spans="1:9" ht="14.25" customHeight="1" x14ac:dyDescent="0.2">
      <c r="A78" s="15" t="s">
        <v>48</v>
      </c>
      <c r="B78" s="20">
        <f>C7+C8</f>
        <v>0</v>
      </c>
      <c r="C78" s="20">
        <f>D7+D8</f>
        <v>0</v>
      </c>
      <c r="D78" s="20">
        <f>E7+E8</f>
        <v>0</v>
      </c>
      <c r="F78" s="19"/>
    </row>
    <row r="79" spans="1:9" ht="14.25" customHeight="1" x14ac:dyDescent="0.2">
      <c r="A79" s="15" t="s">
        <v>49</v>
      </c>
      <c r="B79" s="20">
        <f>C9+C10</f>
        <v>0</v>
      </c>
      <c r="C79" s="20">
        <f>D9+D10</f>
        <v>1</v>
      </c>
      <c r="D79" s="20">
        <f>E9+E10</f>
        <v>1</v>
      </c>
    </row>
    <row r="80" spans="1:9" ht="14.25" customHeight="1" x14ac:dyDescent="0.2">
      <c r="A80" s="15" t="s">
        <v>50</v>
      </c>
      <c r="B80" s="20">
        <f>C11+C12</f>
        <v>1</v>
      </c>
      <c r="C80" s="20">
        <f>D11+D12</f>
        <v>1</v>
      </c>
      <c r="D80" s="20">
        <f>E11+E12</f>
        <v>1</v>
      </c>
    </row>
    <row r="81" spans="1:9" ht="14.25" customHeight="1" x14ac:dyDescent="0.2">
      <c r="A81" s="15" t="s">
        <v>51</v>
      </c>
      <c r="B81" s="20">
        <f>C13+C14</f>
        <v>0</v>
      </c>
      <c r="C81" s="20">
        <f>D13+D14</f>
        <v>0</v>
      </c>
      <c r="D81" s="20">
        <f>E13+E14</f>
        <v>1</v>
      </c>
    </row>
    <row r="82" spans="1:9" ht="14.25" customHeight="1" x14ac:dyDescent="0.2">
      <c r="A82" s="15" t="s">
        <v>52</v>
      </c>
      <c r="B82" s="20">
        <f>C15+C16</f>
        <v>0</v>
      </c>
      <c r="C82" s="20">
        <f>D15+D16</f>
        <v>0</v>
      </c>
      <c r="D82" s="20">
        <f>E15+E16</f>
        <v>0</v>
      </c>
    </row>
    <row r="83" spans="1:9" ht="14.25" customHeight="1" x14ac:dyDescent="0.2"/>
    <row r="84" spans="1:9" ht="14.25" customHeight="1" x14ac:dyDescent="0.2"/>
    <row r="85" spans="1:9" ht="14.25" customHeight="1" x14ac:dyDescent="0.2">
      <c r="A85" s="182" t="s">
        <v>80</v>
      </c>
      <c r="B85" s="183"/>
      <c r="C85" s="183"/>
      <c r="D85" s="183"/>
      <c r="E85" s="183"/>
      <c r="F85" s="183"/>
      <c r="G85" s="183"/>
      <c r="H85" s="183"/>
      <c r="I85" s="183"/>
    </row>
    <row r="86" spans="1:9" ht="14.25" customHeight="1" x14ac:dyDescent="0.2">
      <c r="A86" s="3" t="s">
        <v>81</v>
      </c>
      <c r="B86" s="3" t="s">
        <v>4</v>
      </c>
      <c r="C86" s="3" t="s">
        <v>5</v>
      </c>
      <c r="D86" s="3" t="s">
        <v>6</v>
      </c>
    </row>
    <row r="87" spans="1:9" ht="14.25" customHeight="1" x14ac:dyDescent="0.2">
      <c r="A87" s="4" t="s">
        <v>7</v>
      </c>
      <c r="B87" s="22">
        <f t="shared" ref="B87:D96" si="2">B7-C7</f>
        <v>0</v>
      </c>
      <c r="C87" s="22">
        <f t="shared" si="2"/>
        <v>0</v>
      </c>
      <c r="D87" s="22">
        <f t="shared" si="2"/>
        <v>0</v>
      </c>
    </row>
    <row r="88" spans="1:9" ht="14.25" customHeight="1" x14ac:dyDescent="0.2">
      <c r="A88" s="4" t="s">
        <v>8</v>
      </c>
      <c r="B88" s="22">
        <f t="shared" si="2"/>
        <v>0</v>
      </c>
      <c r="C88" s="22">
        <f t="shared" si="2"/>
        <v>0</v>
      </c>
      <c r="D88" s="22">
        <f t="shared" si="2"/>
        <v>0</v>
      </c>
    </row>
    <row r="89" spans="1:9" ht="14.25" customHeight="1" x14ac:dyDescent="0.2">
      <c r="A89" s="4" t="s">
        <v>9</v>
      </c>
      <c r="B89" s="22">
        <f t="shared" si="2"/>
        <v>0</v>
      </c>
      <c r="C89" s="22">
        <f t="shared" si="2"/>
        <v>-1</v>
      </c>
      <c r="D89" s="22">
        <f t="shared" si="2"/>
        <v>1</v>
      </c>
    </row>
    <row r="90" spans="1:9" ht="14.25" customHeight="1" x14ac:dyDescent="0.2">
      <c r="A90" s="4" t="s">
        <v>10</v>
      </c>
      <c r="B90" s="22">
        <f t="shared" si="2"/>
        <v>0</v>
      </c>
      <c r="C90" s="22">
        <f t="shared" si="2"/>
        <v>0</v>
      </c>
      <c r="D90" s="22">
        <f t="shared" si="2"/>
        <v>-1</v>
      </c>
    </row>
    <row r="91" spans="1:9" ht="14.25" customHeight="1" x14ac:dyDescent="0.2">
      <c r="A91" s="4" t="s">
        <v>11</v>
      </c>
      <c r="B91" s="22">
        <f t="shared" si="2"/>
        <v>1</v>
      </c>
      <c r="C91" s="22">
        <f t="shared" si="2"/>
        <v>0</v>
      </c>
      <c r="D91" s="22">
        <f t="shared" si="2"/>
        <v>0</v>
      </c>
    </row>
    <row r="92" spans="1:9" ht="14.25" customHeight="1" x14ac:dyDescent="0.2">
      <c r="A92" s="4" t="s">
        <v>12</v>
      </c>
      <c r="B92" s="22">
        <f t="shared" si="2"/>
        <v>-1</v>
      </c>
      <c r="C92" s="22">
        <f t="shared" si="2"/>
        <v>0</v>
      </c>
      <c r="D92" s="22">
        <f t="shared" si="2"/>
        <v>0</v>
      </c>
    </row>
    <row r="93" spans="1:9" ht="14.25" customHeight="1" x14ac:dyDescent="0.2">
      <c r="A93" s="4" t="s">
        <v>13</v>
      </c>
      <c r="B93" s="22">
        <f t="shared" si="2"/>
        <v>0</v>
      </c>
      <c r="C93" s="22">
        <f t="shared" si="2"/>
        <v>0</v>
      </c>
      <c r="D93" s="22">
        <f t="shared" si="2"/>
        <v>-1</v>
      </c>
    </row>
    <row r="94" spans="1:9" ht="14.25" customHeight="1" x14ac:dyDescent="0.2">
      <c r="A94" s="4" t="s">
        <v>14</v>
      </c>
      <c r="B94" s="22">
        <f t="shared" si="2"/>
        <v>0</v>
      </c>
      <c r="C94" s="22">
        <f t="shared" si="2"/>
        <v>0</v>
      </c>
      <c r="D94" s="22">
        <f t="shared" si="2"/>
        <v>0</v>
      </c>
    </row>
    <row r="95" spans="1:9" ht="14.25" customHeight="1" x14ac:dyDescent="0.2">
      <c r="A95" s="4" t="s">
        <v>15</v>
      </c>
      <c r="B95" s="22">
        <f t="shared" si="2"/>
        <v>0</v>
      </c>
      <c r="C95" s="22">
        <f t="shared" si="2"/>
        <v>0</v>
      </c>
      <c r="D95" s="22">
        <f t="shared" si="2"/>
        <v>0</v>
      </c>
    </row>
    <row r="96" spans="1:9" ht="14.25" customHeight="1" x14ac:dyDescent="0.2">
      <c r="A96" s="4" t="s">
        <v>16</v>
      </c>
      <c r="B96" s="22">
        <f t="shared" si="2"/>
        <v>0</v>
      </c>
      <c r="C96" s="22">
        <f t="shared" si="2"/>
        <v>0</v>
      </c>
      <c r="D96" s="22">
        <f t="shared" si="2"/>
        <v>0</v>
      </c>
    </row>
    <row r="97" spans="1:7" ht="14.25" customHeight="1" x14ac:dyDescent="0.2"/>
    <row r="98" spans="1:7" ht="14.25" customHeight="1" x14ac:dyDescent="0.2">
      <c r="A98" s="2" t="s">
        <v>208</v>
      </c>
    </row>
    <row r="99" spans="1:7" ht="14.25" customHeight="1" x14ac:dyDescent="0.2">
      <c r="A99" s="3" t="s">
        <v>83</v>
      </c>
      <c r="B99" s="18" t="s">
        <v>69</v>
      </c>
      <c r="C99" s="18" t="s">
        <v>70</v>
      </c>
      <c r="D99" s="18" t="s">
        <v>71</v>
      </c>
      <c r="E99" s="18" t="s">
        <v>84</v>
      </c>
      <c r="F99" s="18" t="s">
        <v>84</v>
      </c>
      <c r="G99" s="18" t="s">
        <v>84</v>
      </c>
    </row>
    <row r="100" spans="1:7" ht="14.25" customHeight="1" x14ac:dyDescent="0.2">
      <c r="A100" s="15" t="s">
        <v>46</v>
      </c>
      <c r="B100" s="6">
        <f>SUM(B51:F51)</f>
        <v>641250</v>
      </c>
      <c r="C100" s="6">
        <f>SUM(B52:F52)</f>
        <v>1154250</v>
      </c>
      <c r="D100" s="6">
        <f>SUM(B53:F53)</f>
        <v>2077650</v>
      </c>
      <c r="E100" s="6">
        <f>Parameters!$D38/Parameters!$B$5</f>
        <v>4250000</v>
      </c>
      <c r="F100" s="6">
        <f>Parameters!$D38/Parameters!$B$5</f>
        <v>4250000</v>
      </c>
      <c r="G100" s="6">
        <f>Parameters!$D38/Parameters!$B$5</f>
        <v>4250000</v>
      </c>
    </row>
    <row r="101" spans="1:7" ht="14.25" customHeight="1" x14ac:dyDescent="0.2"/>
    <row r="102" spans="1:7" ht="14.25" customHeight="1" x14ac:dyDescent="0.2">
      <c r="A102" s="2" t="s">
        <v>85</v>
      </c>
    </row>
    <row r="103" spans="1:7" ht="14.25" customHeight="1" x14ac:dyDescent="0.2">
      <c r="A103" s="18" t="s">
        <v>86</v>
      </c>
      <c r="B103" s="18" t="s">
        <v>87</v>
      </c>
      <c r="C103" s="18" t="s">
        <v>88</v>
      </c>
      <c r="D103" s="18" t="s">
        <v>89</v>
      </c>
      <c r="E103" s="18" t="s">
        <v>90</v>
      </c>
      <c r="F103" s="18" t="s">
        <v>91</v>
      </c>
      <c r="G103" s="18" t="s">
        <v>89</v>
      </c>
    </row>
    <row r="104" spans="1:7" ht="14.25" customHeight="1" x14ac:dyDescent="0.2">
      <c r="A104" s="15" t="s">
        <v>48</v>
      </c>
      <c r="B104" s="6">
        <f>B51</f>
        <v>0</v>
      </c>
      <c r="C104" s="6">
        <f>B52</f>
        <v>0</v>
      </c>
      <c r="D104" s="6">
        <f>B53</f>
        <v>0</v>
      </c>
      <c r="E104" s="6">
        <f>SUM($B21:$G21)</f>
        <v>0</v>
      </c>
      <c r="F104" s="6">
        <f>SUM($B26:$G26)</f>
        <v>0</v>
      </c>
      <c r="G104" s="6">
        <f t="shared" ref="G104:G108" si="3">SUM($B31:$G31)</f>
        <v>0</v>
      </c>
    </row>
    <row r="105" spans="1:7" ht="14.25" customHeight="1" x14ac:dyDescent="0.2">
      <c r="A105" s="15" t="s">
        <v>49</v>
      </c>
      <c r="B105" s="6">
        <f>C51</f>
        <v>0</v>
      </c>
      <c r="C105" s="6">
        <f>C52</f>
        <v>421200</v>
      </c>
      <c r="D105" s="6">
        <f>C53</f>
        <v>822500</v>
      </c>
      <c r="E105" s="6">
        <f>SUM($B22:$G22)</f>
        <v>0</v>
      </c>
      <c r="F105" s="6">
        <f>SUM($B27:$G27)</f>
        <v>421200</v>
      </c>
      <c r="G105" s="6">
        <f t="shared" si="3"/>
        <v>822500</v>
      </c>
    </row>
    <row r="106" spans="1:7" ht="14.25" customHeight="1" x14ac:dyDescent="0.2">
      <c r="A106" s="15" t="s">
        <v>50</v>
      </c>
      <c r="B106" s="6">
        <f>D51</f>
        <v>641250</v>
      </c>
      <c r="C106" s="6">
        <f>D52</f>
        <v>733050</v>
      </c>
      <c r="D106" s="6">
        <f>D53</f>
        <v>1000000</v>
      </c>
      <c r="E106" s="6">
        <f>SUM($B23:$G23)</f>
        <v>641250</v>
      </c>
      <c r="F106" s="6">
        <f>SUM($B28:$G28)</f>
        <v>733050</v>
      </c>
      <c r="G106" s="6">
        <f t="shared" si="3"/>
        <v>1000000</v>
      </c>
    </row>
    <row r="107" spans="1:7" ht="14.25" customHeight="1" x14ac:dyDescent="0.2">
      <c r="A107" s="15" t="s">
        <v>51</v>
      </c>
      <c r="B107" s="6">
        <f>E51</f>
        <v>0</v>
      </c>
      <c r="C107" s="6">
        <f>E52</f>
        <v>0</v>
      </c>
      <c r="D107" s="6">
        <f>E53</f>
        <v>255150</v>
      </c>
      <c r="E107" s="6">
        <f>SUM($B24:$G24)</f>
        <v>0</v>
      </c>
      <c r="F107" s="6">
        <f>SUM($B29:$G29)</f>
        <v>0</v>
      </c>
      <c r="G107" s="6">
        <f t="shared" si="3"/>
        <v>255150</v>
      </c>
    </row>
    <row r="108" spans="1:7" ht="14.25" customHeight="1" x14ac:dyDescent="0.2">
      <c r="A108" s="15" t="s">
        <v>52</v>
      </c>
      <c r="B108" s="6">
        <f>F51</f>
        <v>0</v>
      </c>
      <c r="C108" s="6">
        <f>F52</f>
        <v>0</v>
      </c>
      <c r="D108" s="6">
        <f>F53</f>
        <v>0</v>
      </c>
      <c r="E108" s="6">
        <f>SUM($B25:$G25)</f>
        <v>0</v>
      </c>
      <c r="F108" s="6">
        <f>SUM($B30:$G30)</f>
        <v>0</v>
      </c>
      <c r="G108" s="6">
        <f t="shared" si="3"/>
        <v>0</v>
      </c>
    </row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12" ht="15" customHeight="1" x14ac:dyDescent="0.2">
      <c r="A113" s="181" t="s">
        <v>250</v>
      </c>
      <c r="B113" s="181"/>
      <c r="C113" s="181"/>
      <c r="D113" s="181"/>
      <c r="E113" s="181"/>
      <c r="F113" s="38"/>
      <c r="G113" s="38"/>
      <c r="H113" s="38"/>
      <c r="I113" s="39"/>
    </row>
    <row r="114" spans="1:12" ht="14.25" customHeight="1" x14ac:dyDescent="0.2">
      <c r="A114" s="109" t="s">
        <v>93</v>
      </c>
      <c r="B114" s="109" t="s">
        <v>4</v>
      </c>
      <c r="C114" s="109" t="s">
        <v>5</v>
      </c>
      <c r="D114" s="109" t="s">
        <v>6</v>
      </c>
      <c r="E114" s="109" t="s">
        <v>94</v>
      </c>
    </row>
    <row r="115" spans="1:12" ht="14.25" customHeight="1" x14ac:dyDescent="0.2">
      <c r="A115" s="4" t="s">
        <v>95</v>
      </c>
      <c r="B115" s="23">
        <f>C7*Parameters!B20+C8*Parameters!E20+C9*Parameters!B21+C10*Parameters!E21+C11*Parameters!B22+C12*Parameters!E22+C13*Parameters!B23+C14*Parameters!E23+C15*Parameters!B24+C16*Parameters!E24</f>
        <v>375000</v>
      </c>
      <c r="C115" s="23">
        <f>D7*Parameters!B20+D8*Parameters!E20+D9*Parameters!B21+D10*Parameters!E21+D11*Parameters!B22+D12*Parameters!E22+D13*Parameters!B23+D14*Parameters!E23+D15*Parameters!B24+D16*Parameters!E24</f>
        <v>625000</v>
      </c>
      <c r="D115" s="23">
        <f>E7*Parameters!B20+E8*Parameters!E20+E9*Parameters!B21+E10*Parameters!E21+E11*Parameters!B22+E12*Parameters!E22+E13*Parameters!B23+E14*Parameters!E23+E15*Parameters!B24+E16*Parameters!E24</f>
        <v>1015000</v>
      </c>
      <c r="E115" s="24">
        <f t="shared" ref="E115:E123" si="4">SUM(B115:D115)</f>
        <v>2015000</v>
      </c>
    </row>
    <row r="116" spans="1:12" ht="14.25" customHeight="1" x14ac:dyDescent="0.2">
      <c r="A116" s="4" t="s">
        <v>96</v>
      </c>
      <c r="B116" s="23">
        <f>(SUM(B21,C21,D21,E21,F21,G21)*Parameters!$B$5)*Parameters!C20+(SUM(B22,C22,D22,E22,F22,G22)*Parameters!$B$5)*Parameters!C21+(SUM(B23,C23,D23,E23,F23,G23)*Parameters!$B$5)*Parameters!C22+(SUM(B24,C24,D24,E24,F24,G24)*Parameters!$B$5)*Parameters!C23+(SUM(B25,C25,D25,E25,F25,G25)*Parameters!$B$5)*Parameters!C24</f>
        <v>513000</v>
      </c>
      <c r="C116" s="23">
        <f>(SUM(B26,C26,D26,E26,F26,G26)*Parameters!$B$5)*Parameters!C20+(SUM(B27,C27,D27,E27,F27,G27)*Parameters!$B$5)*Parameters!C21+(SUM(B28,C28,D28,E28,F28,G28)*Parameters!$B$5)*Parameters!C22+(SUM(B29,C29,D29,E29,F29,G29)*Parameters!$B$5)*Parameters!C23+(SUM(B30,C30,D30,E30,F30,G30)*Parameters!$B$5)*Parameters!C24</f>
        <v>923400</v>
      </c>
      <c r="D116" s="23">
        <f>(SUM(B31,C31,D31,E31,F31,G31)*Parameters!$B$5)*Parameters!C20+(SUM(B32,C32,D32,E32,F32,G32)*Parameters!$B$5)*Parameters!C21+(SUM(B33,C33,D33,E33,F33,G33)*Parameters!$B$5)*Parameters!C22+(SUM(B34,C34,D34,E34,F34,G34)*Parameters!$B$5)*Parameters!C23+(SUM(B35,C35,D35,E35,F35,G35)*Parameters!$B$5)*Parameters!C24</f>
        <v>1662120</v>
      </c>
      <c r="E116" s="24">
        <f t="shared" si="4"/>
        <v>3098520</v>
      </c>
    </row>
    <row r="117" spans="1:12" ht="14.25" customHeight="1" x14ac:dyDescent="0.2">
      <c r="A117" s="4" t="s">
        <v>97</v>
      </c>
      <c r="B117" s="23">
        <f>(C7+C8)*Parameters!$B$9+(SUM(B21,C21,D21,E21,F21,G21)*Parameters!$B$5)*Parameters!$B$10+(C9+C10)*Parameters!$B$9+(SUM(B22,C22,D22,E22,F22,G22)*Parameters!$B$5)*Parameters!$B$10+(C11+C12)*Parameters!$B$9+(SUM(B23,C23,D23,E23,F23,G23)*Parameters!$B$5)*Parameters!$B$10+(C13+C14)*Parameters!$B$9+(SUM(B24,C24,D24,E24,F24,G24)*Parameters!$B$5)*Parameters!$B$10+(C15+C16)*Parameters!$B$9+(SUM(B25,C25,D25,E25,F25,G25)*Parameters!$B$5)*Parameters!$B$10</f>
        <v>898225</v>
      </c>
      <c r="C117" s="23">
        <f>(D7+D8)*Parameters!$B$9+(SUM(B26,C26,D26,E26,F26,G26)*Parameters!$B$5)*Parameters!$B$10+(D9+D10)*Parameters!$B$9+(SUM(B27,C27,D27,E27,F27,G27)*Parameters!$B$5)*Parameters!$B$10+(D11+D12)*Parameters!$B$9+(SUM(B28,C28,D28,E28,F28,G28)*Parameters!$B$5)*Parameters!$B$10+(D13+D14)*Parameters!$B$9+(SUM(B29,C29,D29,E29,F29,G29)*Parameters!$B$5)*Parameters!$B$10+(D15+D16)*Parameters!$B$9+(SUM(B30,C30,D30,E30,F30,G30)*Parameters!$B$5)*Parameters!$B$10</f>
        <v>1711805</v>
      </c>
      <c r="D117" s="23">
        <f>(E7+E8)*Parameters!$B$9+(SUM(B31,C31,D31,E31,F31,G31)*Parameters!$B$5)*Parameters!$B$10+(E9+E10)*Parameters!$B$9+(SUM(B32,C32,D32,E32,F32,G32)*Parameters!$B$5)*Parameters!$B$10+(E11+E12)*Parameters!$B$9+(SUM(B33,C33,D33,E33,F33,G33)*Parameters!$B$5)*Parameters!$B$10+(E13+E14)*Parameters!$B$9+(SUM(B34,C34,D34,E34,F34,G34)*Parameters!$B$5)*Parameters!$B$10+(E15+E16)*Parameters!$B$9+(SUM(B35,C35,D35,E35,F35,G35)*Parameters!$B$5)*Parameters!$B$10</f>
        <v>2796249</v>
      </c>
      <c r="E117" s="24">
        <f t="shared" si="4"/>
        <v>5406279</v>
      </c>
    </row>
    <row r="118" spans="1:12" ht="14.25" customHeight="1" x14ac:dyDescent="0.2">
      <c r="A118" s="4" t="s">
        <v>98</v>
      </c>
      <c r="B118" s="23">
        <f>SUMPRODUCT(B21:G25,Parameters!$B$28:$G$32)</f>
        <v>1877625</v>
      </c>
      <c r="C118" s="23">
        <f>SUMPRODUCT(B26:G30,Parameters!$B$28:$G$32)</f>
        <v>3169125</v>
      </c>
      <c r="D118" s="23">
        <f>SUMPRODUCT(B31:G35,Parameters!$B$28:$G$32)</f>
        <v>5449275</v>
      </c>
      <c r="E118" s="24">
        <f t="shared" si="4"/>
        <v>10496025</v>
      </c>
    </row>
    <row r="119" spans="1:12" ht="14.25" customHeight="1" x14ac:dyDescent="0.2">
      <c r="A119" s="4" t="s">
        <v>110</v>
      </c>
      <c r="B119" s="23">
        <f>SUM(B21,C21,D21,E21,F21,G21)*Parameters!D42+SUM(B22,C22,D22,E22,F22,G22)*Parameters!D43+SUM(B23,C23,D23,E23,F23,G23)*Parameters!D44+SUM(B24,C24,D24,E24,F24,G24)*Parameters!D45+SUM(B25,C25,D25,E25,F25,G25)*Parameters!D46</f>
        <v>1603125</v>
      </c>
      <c r="C119" s="23">
        <f>SUM(B26,C26,D26,E26,F26,G26)*Parameters!D42+SUM(B27,C27,D27,E27,F27,G27)*Parameters!D43+SUM(B28,C28,D28,E28,F28,G28)*Parameters!D44+SUM(B29,C29,D29,E29,F29,G29)*Parameters!D45+SUM(B30,C30,D30,E30,F30,G30)*Parameters!D46</f>
        <v>2885625</v>
      </c>
      <c r="D119" s="23">
        <f>SUM(B31,C31,D31,E31,F31,G31)*Parameters!D42+SUM(B32,C32,D32,E32,F32,G32)*Parameters!D43+SUM(B33,C33,D33,E33,F33,G33)*Parameters!D44+SUM(B34,C34,D34,E34,F34,G34)*Parameters!D45+SUM(B35,C35,D35,E35,F35,G35)*Parameters!D46</f>
        <v>5321700</v>
      </c>
      <c r="E119" s="24">
        <f t="shared" si="4"/>
        <v>9810450</v>
      </c>
    </row>
    <row r="120" spans="1:12" ht="14.25" customHeight="1" x14ac:dyDescent="0.2">
      <c r="A120" s="4" t="s">
        <v>111</v>
      </c>
      <c r="B120" s="23">
        <f>(SUM(Demand!C62:C67))*Parameters!$E$10</f>
        <v>21546000</v>
      </c>
      <c r="C120" s="23">
        <f>(SUM(Demand!D62:D67))*Parameters!$E$10</f>
        <v>38782800</v>
      </c>
      <c r="D120" s="23">
        <f>(SUM(Demand!E62:E67))*Parameters!$E$10</f>
        <v>69809040</v>
      </c>
      <c r="E120" s="24">
        <f t="shared" si="4"/>
        <v>130137840</v>
      </c>
    </row>
    <row r="121" spans="1:12" ht="14.25" customHeight="1" x14ac:dyDescent="0.2">
      <c r="A121" s="4" t="s">
        <v>101</v>
      </c>
      <c r="B121" s="25">
        <f>Parameters!$B$8*SUM(Q6_insourcing!B39:B48)</f>
        <v>30000</v>
      </c>
      <c r="C121" s="25">
        <f>Parameters!$B$8*SUM(Q6_insourcing!C39:C48)</f>
        <v>0</v>
      </c>
      <c r="D121" s="25">
        <f>Parameters!$B$8*SUM(Q6_insourcing!D39:D48)</f>
        <v>30000</v>
      </c>
      <c r="E121" s="23">
        <f t="shared" si="4"/>
        <v>60000</v>
      </c>
    </row>
    <row r="122" spans="1:12" ht="14.25" customHeight="1" x14ac:dyDescent="0.2">
      <c r="A122" s="4" t="s">
        <v>102</v>
      </c>
      <c r="B122" s="28">
        <f>Parameters!$B$38</f>
        <v>20000</v>
      </c>
      <c r="C122" s="28">
        <f>Parameters!$B$38</f>
        <v>20000</v>
      </c>
      <c r="D122" s="28">
        <f>Parameters!$B$38</f>
        <v>20000</v>
      </c>
      <c r="E122" s="23">
        <f t="shared" si="4"/>
        <v>60000</v>
      </c>
      <c r="G122" s="21"/>
    </row>
    <row r="123" spans="1:12" ht="14.25" customHeight="1" x14ac:dyDescent="0.2">
      <c r="A123" s="4" t="s">
        <v>103</v>
      </c>
      <c r="B123" s="25">
        <f>Parameters!$C$38*SUM(B51:F51)</f>
        <v>192375</v>
      </c>
      <c r="C123" s="25">
        <f>Parameters!$C$38*SUM(B52:F52)</f>
        <v>346275</v>
      </c>
      <c r="D123" s="25">
        <f>Parameters!$C$38*SUM(B53:F53)</f>
        <v>623295</v>
      </c>
      <c r="E123" s="23">
        <f t="shared" si="4"/>
        <v>1161945</v>
      </c>
      <c r="G123" s="180" t="s">
        <v>239</v>
      </c>
      <c r="H123" s="180"/>
      <c r="I123" s="180"/>
      <c r="J123" s="180"/>
      <c r="K123" s="177"/>
    </row>
    <row r="124" spans="1:12" ht="14.25" customHeight="1" x14ac:dyDescent="0.2">
      <c r="A124" s="110" t="s">
        <v>104</v>
      </c>
      <c r="B124" s="26">
        <f t="shared" ref="B124:E124" si="5">SUM(B115:B123)</f>
        <v>27055350</v>
      </c>
      <c r="C124" s="26">
        <f t="shared" si="5"/>
        <v>48464030</v>
      </c>
      <c r="D124" s="26">
        <f t="shared" si="5"/>
        <v>86726679</v>
      </c>
      <c r="E124" s="27">
        <f t="shared" si="5"/>
        <v>162246059</v>
      </c>
      <c r="G124" s="179"/>
      <c r="H124" s="179">
        <v>2025</v>
      </c>
      <c r="I124" s="179">
        <v>2026</v>
      </c>
      <c r="J124" s="179">
        <v>2027</v>
      </c>
      <c r="K124" s="165" t="s">
        <v>224</v>
      </c>
    </row>
    <row r="125" spans="1:12" ht="14.25" customHeight="1" x14ac:dyDescent="0.2">
      <c r="G125" s="178" t="s">
        <v>234</v>
      </c>
      <c r="H125" s="169">
        <f>B126*0.4</f>
        <v>14364000</v>
      </c>
      <c r="I125" s="169">
        <v>14364000</v>
      </c>
      <c r="J125" s="170">
        <v>14364000</v>
      </c>
      <c r="K125" s="171">
        <f>J125</f>
        <v>14364000</v>
      </c>
    </row>
    <row r="126" spans="1:12" ht="15" customHeight="1" x14ac:dyDescent="0.2">
      <c r="A126" s="111" t="s">
        <v>216</v>
      </c>
      <c r="B126" s="40">
        <f>14*Demand!C68</f>
        <v>35910000</v>
      </c>
      <c r="C126" s="40">
        <f>14*Demand!D68</f>
        <v>64638000</v>
      </c>
      <c r="D126" s="40">
        <f>14*Demand!E68</f>
        <v>116348400</v>
      </c>
      <c r="E126" s="40">
        <f>SUM(B126:D126)</f>
        <v>216896400</v>
      </c>
      <c r="F126" s="38"/>
      <c r="G126" s="165" t="s">
        <v>235</v>
      </c>
      <c r="H126" s="172">
        <f>H125*2</f>
        <v>28728000</v>
      </c>
      <c r="I126" s="172">
        <f>I125*2</f>
        <v>28728000</v>
      </c>
      <c r="J126" s="173">
        <f>J125*2</f>
        <v>28728000</v>
      </c>
      <c r="K126" s="171">
        <f>K125*2</f>
        <v>28728000</v>
      </c>
      <c r="L126" s="50"/>
    </row>
    <row r="127" spans="1:12" ht="14.25" customHeight="1" x14ac:dyDescent="0.2">
      <c r="A127" s="112" t="s">
        <v>217</v>
      </c>
      <c r="B127" s="41">
        <f>B126-B124</f>
        <v>8854650</v>
      </c>
      <c r="C127" s="41">
        <f>C126-C124</f>
        <v>16173970</v>
      </c>
      <c r="D127" s="41">
        <f>D126-D124</f>
        <v>29621721</v>
      </c>
      <c r="E127" s="41">
        <f>E126-E124</f>
        <v>54650341</v>
      </c>
      <c r="G127" s="165" t="s">
        <v>238</v>
      </c>
      <c r="H127" s="172">
        <f>H126-H125</f>
        <v>14364000</v>
      </c>
      <c r="I127" s="172">
        <f>I126-I125</f>
        <v>14364000</v>
      </c>
      <c r="J127" s="173">
        <f>J126-J125</f>
        <v>14364000</v>
      </c>
      <c r="K127" s="171">
        <f>K126-K125</f>
        <v>14364000</v>
      </c>
    </row>
    <row r="128" spans="1:12" ht="14.25" customHeight="1" x14ac:dyDescent="0.2">
      <c r="A128" s="42"/>
      <c r="G128" s="165" t="s">
        <v>236</v>
      </c>
      <c r="H128" s="172">
        <f>H127*0.1</f>
        <v>1436400</v>
      </c>
      <c r="I128" s="174">
        <f>I127*0.1</f>
        <v>1436400</v>
      </c>
      <c r="J128" s="173">
        <f>J127*0.1</f>
        <v>1436400</v>
      </c>
      <c r="K128" s="172">
        <f>0.1*K127</f>
        <v>1436400</v>
      </c>
    </row>
    <row r="129" spans="1:11" ht="14.25" customHeight="1" x14ac:dyDescent="0.2">
      <c r="A129" s="164" t="s">
        <v>231</v>
      </c>
      <c r="B129" s="165" t="s">
        <v>232</v>
      </c>
      <c r="C129" s="165" t="s">
        <v>233</v>
      </c>
      <c r="D129" s="165" t="s">
        <v>251</v>
      </c>
      <c r="G129" s="165" t="s">
        <v>240</v>
      </c>
      <c r="H129" s="172">
        <f>D131</f>
        <v>4104000</v>
      </c>
      <c r="I129" s="175">
        <f>D132</f>
        <v>7387200</v>
      </c>
      <c r="J129" s="173">
        <f>D133</f>
        <v>13296960</v>
      </c>
      <c r="K129" s="175">
        <f>SUM(H129:J129)</f>
        <v>24788160</v>
      </c>
    </row>
    <row r="130" spans="1:11" ht="14.25" customHeight="1" x14ac:dyDescent="0.2">
      <c r="A130" s="165" t="s">
        <v>224</v>
      </c>
      <c r="B130" s="167">
        <f>Q2_Model_Baseline!E124</f>
        <v>187034219</v>
      </c>
      <c r="C130" s="168">
        <f>E124</f>
        <v>162246059</v>
      </c>
      <c r="D130" s="168">
        <f>B130-C130</f>
        <v>24788160</v>
      </c>
      <c r="G130" s="165" t="s">
        <v>237</v>
      </c>
      <c r="H130" s="176">
        <f>H129-H128</f>
        <v>2667600</v>
      </c>
      <c r="I130" s="176">
        <f t="shared" ref="I130:K130" si="6">I129-I128</f>
        <v>5950800</v>
      </c>
      <c r="J130" s="176">
        <f t="shared" si="6"/>
        <v>11860560</v>
      </c>
      <c r="K130" s="176">
        <f t="shared" si="6"/>
        <v>23351760</v>
      </c>
    </row>
    <row r="131" spans="1:11" ht="14.25" customHeight="1" x14ac:dyDescent="0.2">
      <c r="A131" s="166">
        <v>2025</v>
      </c>
      <c r="B131" s="168">
        <f>Q2_Model_Baseline!B124</f>
        <v>31159350</v>
      </c>
      <c r="C131" s="168">
        <f>B124</f>
        <v>27055350</v>
      </c>
      <c r="D131" s="168">
        <f>B131-C131</f>
        <v>4104000</v>
      </c>
    </row>
    <row r="132" spans="1:11" ht="14.25" customHeight="1" x14ac:dyDescent="0.2">
      <c r="A132" s="164">
        <v>2026</v>
      </c>
      <c r="B132" s="168">
        <f>Q2_Model_Baseline!C124</f>
        <v>55851230</v>
      </c>
      <c r="C132" s="168">
        <f>C124</f>
        <v>48464030</v>
      </c>
      <c r="D132" s="168">
        <f>B132-C132</f>
        <v>7387200</v>
      </c>
    </row>
    <row r="133" spans="1:11" ht="14.25" customHeight="1" x14ac:dyDescent="0.2">
      <c r="A133" s="164">
        <v>2027</v>
      </c>
      <c r="B133" s="168">
        <f>Q2_Model_Baseline!D124</f>
        <v>100023639</v>
      </c>
      <c r="C133" s="168">
        <f>D124</f>
        <v>86726679</v>
      </c>
      <c r="D133" s="168">
        <f>B133-C133</f>
        <v>13296960</v>
      </c>
    </row>
    <row r="134" spans="1:11" ht="14.25" customHeight="1" x14ac:dyDescent="0.2">
      <c r="A134" s="37"/>
    </row>
    <row r="135" spans="1:11" ht="14.25" customHeight="1" x14ac:dyDescent="0.2">
      <c r="A135" s="37"/>
    </row>
    <row r="136" spans="1:11" ht="14.25" customHeight="1" x14ac:dyDescent="0.2">
      <c r="A136" s="37"/>
    </row>
    <row r="137" spans="1:11" ht="14.25" customHeight="1" x14ac:dyDescent="0.2">
      <c r="A137" s="42"/>
    </row>
    <row r="138" spans="1:11" ht="14.25" customHeight="1" x14ac:dyDescent="0.2">
      <c r="A138" s="37"/>
    </row>
    <row r="139" spans="1:11" ht="14.25" customHeight="1" x14ac:dyDescent="0.2">
      <c r="A139" s="37"/>
    </row>
    <row r="140" spans="1:11" ht="14.25" customHeight="1" x14ac:dyDescent="0.2"/>
    <row r="141" spans="1:11" ht="14.25" customHeight="1" x14ac:dyDescent="0.2"/>
    <row r="142" spans="1:11" ht="14.25" customHeight="1" x14ac:dyDescent="0.2"/>
    <row r="143" spans="1:11" ht="14.25" customHeight="1" x14ac:dyDescent="0.2"/>
    <row r="144" spans="1:11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</sheetData>
  <mergeCells count="12">
    <mergeCell ref="A58:I58"/>
    <mergeCell ref="A1:I1"/>
    <mergeCell ref="A2:I2"/>
    <mergeCell ref="A4:I4"/>
    <mergeCell ref="A5:I5"/>
    <mergeCell ref="A19:I19"/>
    <mergeCell ref="G123:J123"/>
    <mergeCell ref="A113:E113"/>
    <mergeCell ref="A59:I59"/>
    <mergeCell ref="A68:I68"/>
    <mergeCell ref="A76:I76"/>
    <mergeCell ref="A85:I8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Demand</vt:lpstr>
      <vt:lpstr>__OpenSolverCache__</vt:lpstr>
      <vt:lpstr>__OpenSolver__</vt:lpstr>
      <vt:lpstr>Parameters</vt:lpstr>
      <vt:lpstr>Q1_ST_Louis only</vt:lpstr>
      <vt:lpstr>Q2_Model_Baseline</vt:lpstr>
      <vt:lpstr>Q3_next_day </vt:lpstr>
      <vt:lpstr>Q4_Resillient</vt:lpstr>
      <vt:lpstr>Q5_Model_international</vt:lpstr>
      <vt:lpstr>Q6_insourcing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Valentine Krafft</cp:lastModifiedBy>
  <dcterms:created xsi:type="dcterms:W3CDTF">2026-05-23T10:21:07Z</dcterms:created>
  <dcterms:modified xsi:type="dcterms:W3CDTF">2026-05-25T09:03:58Z</dcterms:modified>
</cp:coreProperties>
</file>